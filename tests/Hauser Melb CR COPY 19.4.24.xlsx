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obertson/Desktop/"/>
    </mc:Choice>
  </mc:AlternateContent>
  <xr:revisionPtr revIDLastSave="0" documentId="13_ncr:1_{3149A828-9863-9C4C-BB83-BB298D4F2451}" xr6:coauthVersionLast="47" xr6:coauthVersionMax="47" xr10:uidLastSave="{00000000-0000-0000-0000-000000000000}"/>
  <bookViews>
    <workbookView xWindow="0" yWindow="960" windowWidth="34200" windowHeight="19340" xr2:uid="{DD5DE2CB-1EFC-A84A-A520-08C2904AFEE3}"/>
  </bookViews>
  <sheets>
    <sheet name="MELB" sheetId="1" r:id="rId1"/>
  </sheets>
  <definedNames>
    <definedName name="_xlnm.Print_Area" localSheetId="0">MELB!$A$1:$R$160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5" i="1" l="1"/>
  <c r="J175" i="1"/>
  <c r="I175" i="1"/>
  <c r="G159" i="1"/>
  <c r="N159" i="1" s="1"/>
  <c r="P159" i="1" s="1"/>
  <c r="G158" i="1"/>
  <c r="N158" i="1" s="1"/>
  <c r="P158" i="1" s="1"/>
  <c r="G157" i="1"/>
  <c r="N157" i="1" s="1"/>
  <c r="P157" i="1" s="1"/>
  <c r="G156" i="1"/>
  <c r="N156" i="1" s="1"/>
  <c r="P156" i="1" s="1"/>
  <c r="G155" i="1"/>
  <c r="N155" i="1" s="1"/>
  <c r="P155" i="1" s="1"/>
  <c r="G154" i="1"/>
  <c r="N154" i="1" s="1"/>
  <c r="P154" i="1" s="1"/>
  <c r="G153" i="1"/>
  <c r="N153" i="1" s="1"/>
  <c r="P153" i="1" s="1"/>
  <c r="G150" i="1"/>
  <c r="N150" i="1" s="1"/>
  <c r="P150" i="1" s="1"/>
  <c r="G149" i="1"/>
  <c r="N149" i="1" s="1"/>
  <c r="P149" i="1" s="1"/>
  <c r="G148" i="1"/>
  <c r="N148" i="1" s="1"/>
  <c r="P148" i="1" s="1"/>
  <c r="G147" i="1"/>
  <c r="N147" i="1" s="1"/>
  <c r="P147" i="1" s="1"/>
  <c r="G146" i="1"/>
  <c r="N146" i="1" s="1"/>
  <c r="P146" i="1" s="1"/>
  <c r="G145" i="1"/>
  <c r="N145" i="1" s="1"/>
  <c r="P145" i="1" s="1"/>
  <c r="G144" i="1"/>
  <c r="N144" i="1" s="1"/>
  <c r="P144" i="1" s="1"/>
  <c r="G143" i="1"/>
  <c r="N143" i="1" s="1"/>
  <c r="P143" i="1" s="1"/>
  <c r="G142" i="1"/>
  <c r="N142" i="1" s="1"/>
  <c r="P142" i="1" s="1"/>
  <c r="G141" i="1"/>
  <c r="N141" i="1" s="1"/>
  <c r="P141" i="1" s="1"/>
  <c r="G140" i="1"/>
  <c r="N140" i="1" s="1"/>
  <c r="P140" i="1" s="1"/>
  <c r="G139" i="1"/>
  <c r="N139" i="1" s="1"/>
  <c r="P139" i="1" s="1"/>
  <c r="G138" i="1"/>
  <c r="N138" i="1" s="1"/>
  <c r="P138" i="1" s="1"/>
  <c r="M135" i="1"/>
  <c r="L135" i="1"/>
  <c r="K135" i="1"/>
  <c r="J135" i="1"/>
  <c r="I135" i="1"/>
  <c r="H135" i="1"/>
  <c r="F135" i="1"/>
  <c r="E135" i="1"/>
  <c r="D135" i="1"/>
  <c r="C135" i="1"/>
  <c r="P134" i="1"/>
  <c r="G134" i="1"/>
  <c r="N134" i="1" s="1"/>
  <c r="G133" i="1"/>
  <c r="N133" i="1" s="1"/>
  <c r="P133" i="1" s="1"/>
  <c r="G132" i="1"/>
  <c r="N132" i="1" s="1"/>
  <c r="P132" i="1" s="1"/>
  <c r="G131" i="1"/>
  <c r="N131" i="1" s="1"/>
  <c r="P131" i="1" s="1"/>
  <c r="G130" i="1"/>
  <c r="M129" i="1"/>
  <c r="L129" i="1"/>
  <c r="K129" i="1"/>
  <c r="J129" i="1"/>
  <c r="I129" i="1"/>
  <c r="H129" i="1"/>
  <c r="F129" i="1"/>
  <c r="E129" i="1"/>
  <c r="D129" i="1"/>
  <c r="C129" i="1"/>
  <c r="G128" i="1"/>
  <c r="N128" i="1" s="1"/>
  <c r="P128" i="1" s="1"/>
  <c r="G127" i="1"/>
  <c r="N127" i="1" s="1"/>
  <c r="P127" i="1" s="1"/>
  <c r="G126" i="1"/>
  <c r="N126" i="1" s="1"/>
  <c r="P126" i="1" s="1"/>
  <c r="G125" i="1"/>
  <c r="N125" i="1" s="1"/>
  <c r="P125" i="1" s="1"/>
  <c r="G124" i="1"/>
  <c r="N124" i="1" s="1"/>
  <c r="P124" i="1" s="1"/>
  <c r="G123" i="1"/>
  <c r="M122" i="1"/>
  <c r="L122" i="1"/>
  <c r="K122" i="1"/>
  <c r="J122" i="1"/>
  <c r="I122" i="1"/>
  <c r="H122" i="1"/>
  <c r="F122" i="1"/>
  <c r="E122" i="1"/>
  <c r="D122" i="1"/>
  <c r="C122" i="1"/>
  <c r="G121" i="1"/>
  <c r="N121" i="1" s="1"/>
  <c r="P121" i="1" s="1"/>
  <c r="G120" i="1"/>
  <c r="N120" i="1" s="1"/>
  <c r="G119" i="1"/>
  <c r="N119" i="1" s="1"/>
  <c r="G118" i="1"/>
  <c r="N118" i="1" s="1"/>
  <c r="P118" i="1" s="1"/>
  <c r="G117" i="1"/>
  <c r="G116" i="1"/>
  <c r="N116" i="1" s="1"/>
  <c r="P116" i="1" s="1"/>
  <c r="M115" i="1"/>
  <c r="L115" i="1"/>
  <c r="K115" i="1"/>
  <c r="J115" i="1"/>
  <c r="I115" i="1"/>
  <c r="H115" i="1"/>
  <c r="F115" i="1"/>
  <c r="E115" i="1"/>
  <c r="D115" i="1"/>
  <c r="C115" i="1"/>
  <c r="G114" i="1"/>
  <c r="N114" i="1" s="1"/>
  <c r="P114" i="1" s="1"/>
  <c r="P113" i="1"/>
  <c r="N113" i="1"/>
  <c r="G113" i="1"/>
  <c r="G112" i="1"/>
  <c r="N112" i="1" s="1"/>
  <c r="P112" i="1" s="1"/>
  <c r="G111" i="1"/>
  <c r="N111" i="1" s="1"/>
  <c r="G110" i="1"/>
  <c r="N110" i="1" s="1"/>
  <c r="P110" i="1" s="1"/>
  <c r="G109" i="1"/>
  <c r="M108" i="1"/>
  <c r="L108" i="1"/>
  <c r="K108" i="1"/>
  <c r="J108" i="1"/>
  <c r="I108" i="1"/>
  <c r="H108" i="1"/>
  <c r="F108" i="1"/>
  <c r="E108" i="1"/>
  <c r="D108" i="1"/>
  <c r="C108" i="1"/>
  <c r="G107" i="1"/>
  <c r="N107" i="1" s="1"/>
  <c r="P107" i="1" s="1"/>
  <c r="N106" i="1"/>
  <c r="P106" i="1" s="1"/>
  <c r="G106" i="1"/>
  <c r="G105" i="1"/>
  <c r="N105" i="1" s="1"/>
  <c r="G104" i="1"/>
  <c r="N104" i="1" s="1"/>
  <c r="P104" i="1" s="1"/>
  <c r="N103" i="1"/>
  <c r="G103" i="1"/>
  <c r="M102" i="1"/>
  <c r="L102" i="1"/>
  <c r="K102" i="1"/>
  <c r="J102" i="1"/>
  <c r="I102" i="1"/>
  <c r="H102" i="1"/>
  <c r="F102" i="1"/>
  <c r="E102" i="1"/>
  <c r="D102" i="1"/>
  <c r="C102" i="1"/>
  <c r="G101" i="1"/>
  <c r="N101" i="1" s="1"/>
  <c r="P101" i="1" s="1"/>
  <c r="G100" i="1"/>
  <c r="N100" i="1" s="1"/>
  <c r="P100" i="1" s="1"/>
  <c r="G99" i="1"/>
  <c r="N99" i="1" s="1"/>
  <c r="N98" i="1"/>
  <c r="P98" i="1" s="1"/>
  <c r="G98" i="1"/>
  <c r="G97" i="1"/>
  <c r="M96" i="1"/>
  <c r="L96" i="1"/>
  <c r="K96" i="1"/>
  <c r="J96" i="1"/>
  <c r="I96" i="1"/>
  <c r="H96" i="1"/>
  <c r="F96" i="1"/>
  <c r="E96" i="1"/>
  <c r="D96" i="1"/>
  <c r="C96" i="1"/>
  <c r="G95" i="1"/>
  <c r="N95" i="1" s="1"/>
  <c r="P95" i="1" s="1"/>
  <c r="G94" i="1"/>
  <c r="N94" i="1" s="1"/>
  <c r="G93" i="1"/>
  <c r="N93" i="1" s="1"/>
  <c r="G92" i="1"/>
  <c r="N92" i="1" s="1"/>
  <c r="G91" i="1"/>
  <c r="N91" i="1" s="1"/>
  <c r="G90" i="1"/>
  <c r="M89" i="1"/>
  <c r="L89" i="1"/>
  <c r="K89" i="1"/>
  <c r="J89" i="1"/>
  <c r="I89" i="1"/>
  <c r="H89" i="1"/>
  <c r="G89" i="1"/>
  <c r="F89" i="1"/>
  <c r="E89" i="1"/>
  <c r="D89" i="1"/>
  <c r="C89" i="1"/>
  <c r="G88" i="1"/>
  <c r="N88" i="1" s="1"/>
  <c r="G87" i="1"/>
  <c r="N87" i="1" s="1"/>
  <c r="G86" i="1"/>
  <c r="N86" i="1" s="1"/>
  <c r="G85" i="1"/>
  <c r="N85" i="1" s="1"/>
  <c r="G84" i="1"/>
  <c r="N84" i="1" s="1"/>
  <c r="M83" i="1"/>
  <c r="L83" i="1"/>
  <c r="K83" i="1"/>
  <c r="J83" i="1"/>
  <c r="I83" i="1"/>
  <c r="H83" i="1"/>
  <c r="F83" i="1"/>
  <c r="E83" i="1"/>
  <c r="D83" i="1"/>
  <c r="C83" i="1"/>
  <c r="G82" i="1"/>
  <c r="N82" i="1" s="1"/>
  <c r="P82" i="1" s="1"/>
  <c r="G81" i="1"/>
  <c r="N81" i="1" s="1"/>
  <c r="G80" i="1"/>
  <c r="N80" i="1" s="1"/>
  <c r="G79" i="1"/>
  <c r="N79" i="1" s="1"/>
  <c r="G78" i="1"/>
  <c r="N78" i="1" s="1"/>
  <c r="M77" i="1"/>
  <c r="L77" i="1"/>
  <c r="K77" i="1"/>
  <c r="J77" i="1"/>
  <c r="I77" i="1"/>
  <c r="H77" i="1"/>
  <c r="G77" i="1"/>
  <c r="F77" i="1"/>
  <c r="E77" i="1"/>
  <c r="D77" i="1"/>
  <c r="C77" i="1"/>
  <c r="G76" i="1"/>
  <c r="N76" i="1" s="1"/>
  <c r="P76" i="1" s="1"/>
  <c r="G75" i="1"/>
  <c r="N75" i="1" s="1"/>
  <c r="G74" i="1"/>
  <c r="N74" i="1" s="1"/>
  <c r="G73" i="1"/>
  <c r="N73" i="1" s="1"/>
  <c r="G72" i="1"/>
  <c r="N72" i="1" s="1"/>
  <c r="M71" i="1"/>
  <c r="L71" i="1"/>
  <c r="K71" i="1"/>
  <c r="J71" i="1"/>
  <c r="I71" i="1"/>
  <c r="H71" i="1"/>
  <c r="F71" i="1"/>
  <c r="E71" i="1"/>
  <c r="D71" i="1"/>
  <c r="C71" i="1"/>
  <c r="G70" i="1"/>
  <c r="N70" i="1" s="1"/>
  <c r="G69" i="1"/>
  <c r="N69" i="1" s="1"/>
  <c r="G68" i="1"/>
  <c r="N68" i="1" s="1"/>
  <c r="G67" i="1"/>
  <c r="N67" i="1" s="1"/>
  <c r="G66" i="1"/>
  <c r="N66" i="1" s="1"/>
  <c r="M65" i="1"/>
  <c r="L65" i="1"/>
  <c r="K65" i="1"/>
  <c r="J65" i="1"/>
  <c r="I65" i="1"/>
  <c r="H65" i="1"/>
  <c r="G65" i="1"/>
  <c r="F65" i="1"/>
  <c r="E65" i="1"/>
  <c r="D65" i="1"/>
  <c r="C65" i="1"/>
  <c r="G64" i="1"/>
  <c r="N64" i="1" s="1"/>
  <c r="G63" i="1"/>
  <c r="N63" i="1" s="1"/>
  <c r="G62" i="1"/>
  <c r="N62" i="1" s="1"/>
  <c r="G61" i="1"/>
  <c r="N61" i="1" s="1"/>
  <c r="G60" i="1"/>
  <c r="N60" i="1" s="1"/>
  <c r="M59" i="1"/>
  <c r="L59" i="1"/>
  <c r="K59" i="1"/>
  <c r="J59" i="1"/>
  <c r="I59" i="1"/>
  <c r="H59" i="1"/>
  <c r="F59" i="1"/>
  <c r="E59" i="1"/>
  <c r="D59" i="1"/>
  <c r="C59" i="1"/>
  <c r="G58" i="1"/>
  <c r="N58" i="1" s="1"/>
  <c r="P58" i="1" s="1"/>
  <c r="G57" i="1"/>
  <c r="N57" i="1" s="1"/>
  <c r="G56" i="1"/>
  <c r="N56" i="1" s="1"/>
  <c r="G55" i="1"/>
  <c r="N55" i="1" s="1"/>
  <c r="G54" i="1"/>
  <c r="N54" i="1" s="1"/>
  <c r="M53" i="1"/>
  <c r="L53" i="1"/>
  <c r="K53" i="1"/>
  <c r="J53" i="1"/>
  <c r="I53" i="1"/>
  <c r="H53" i="1"/>
  <c r="G53" i="1"/>
  <c r="F53" i="1"/>
  <c r="E53" i="1"/>
  <c r="D53" i="1"/>
  <c r="C53" i="1"/>
  <c r="G52" i="1"/>
  <c r="N52" i="1" s="1"/>
  <c r="G51" i="1"/>
  <c r="N51" i="1" s="1"/>
  <c r="G50" i="1"/>
  <c r="N50" i="1" s="1"/>
  <c r="G49" i="1"/>
  <c r="N49" i="1" s="1"/>
  <c r="G48" i="1"/>
  <c r="N48" i="1" s="1"/>
  <c r="M47" i="1"/>
  <c r="L47" i="1"/>
  <c r="K47" i="1"/>
  <c r="J47" i="1"/>
  <c r="I47" i="1"/>
  <c r="H47" i="1"/>
  <c r="F47" i="1"/>
  <c r="E47" i="1"/>
  <c r="D47" i="1"/>
  <c r="C47" i="1"/>
  <c r="G46" i="1"/>
  <c r="N46" i="1" s="1"/>
  <c r="G45" i="1"/>
  <c r="N45" i="1" s="1"/>
  <c r="G44" i="1"/>
  <c r="N44" i="1" s="1"/>
  <c r="G43" i="1"/>
  <c r="N43" i="1" s="1"/>
  <c r="G42" i="1"/>
  <c r="N42" i="1" s="1"/>
  <c r="P42" i="1" s="1"/>
  <c r="P41" i="1"/>
  <c r="G41" i="1"/>
  <c r="N41" i="1" s="1"/>
  <c r="M40" i="1"/>
  <c r="L40" i="1"/>
  <c r="K40" i="1"/>
  <c r="J40" i="1"/>
  <c r="I40" i="1"/>
  <c r="H40" i="1"/>
  <c r="F40" i="1"/>
  <c r="E40" i="1"/>
  <c r="D40" i="1"/>
  <c r="C40" i="1"/>
  <c r="N39" i="1"/>
  <c r="G39" i="1"/>
  <c r="G38" i="1"/>
  <c r="N38" i="1" s="1"/>
  <c r="G37" i="1"/>
  <c r="N37" i="1" s="1"/>
  <c r="P37" i="1" s="1"/>
  <c r="G36" i="1"/>
  <c r="N36" i="1" s="1"/>
  <c r="P36" i="1" s="1"/>
  <c r="G35" i="1"/>
  <c r="N35" i="1" s="1"/>
  <c r="G34" i="1"/>
  <c r="N34" i="1" s="1"/>
  <c r="M33" i="1"/>
  <c r="L33" i="1"/>
  <c r="K33" i="1"/>
  <c r="J33" i="1"/>
  <c r="I33" i="1"/>
  <c r="H33" i="1"/>
  <c r="F33" i="1"/>
  <c r="E33" i="1"/>
  <c r="D33" i="1"/>
  <c r="C33" i="1"/>
  <c r="G32" i="1"/>
  <c r="N32" i="1" s="1"/>
  <c r="P32" i="1" s="1"/>
  <c r="G31" i="1"/>
  <c r="G30" i="1"/>
  <c r="N30" i="1" s="1"/>
  <c r="P30" i="1" s="1"/>
  <c r="P29" i="1"/>
  <c r="G29" i="1"/>
  <c r="N29" i="1" s="1"/>
  <c r="G28" i="1"/>
  <c r="N28" i="1" s="1"/>
  <c r="P28" i="1" s="1"/>
  <c r="G27" i="1"/>
  <c r="N27" i="1" s="1"/>
  <c r="P27" i="1" s="1"/>
  <c r="M26" i="1"/>
  <c r="L26" i="1"/>
  <c r="K26" i="1"/>
  <c r="J26" i="1"/>
  <c r="I26" i="1"/>
  <c r="H26" i="1"/>
  <c r="F26" i="1"/>
  <c r="E26" i="1"/>
  <c r="C26" i="1"/>
  <c r="G25" i="1"/>
  <c r="N25" i="1" s="1"/>
  <c r="G24" i="1"/>
  <c r="N24" i="1" s="1"/>
  <c r="G23" i="1"/>
  <c r="N23" i="1" s="1"/>
  <c r="G22" i="1"/>
  <c r="N22" i="1" s="1"/>
  <c r="G21" i="1"/>
  <c r="N21" i="1" s="1"/>
  <c r="P21" i="1" s="1"/>
  <c r="M19" i="1"/>
  <c r="L19" i="1"/>
  <c r="J19" i="1"/>
  <c r="I19" i="1"/>
  <c r="H19" i="1"/>
  <c r="F19" i="1"/>
  <c r="E19" i="1"/>
  <c r="C19" i="1"/>
  <c r="G18" i="1"/>
  <c r="N18" i="1" s="1"/>
  <c r="G17" i="1"/>
  <c r="N17" i="1" s="1"/>
  <c r="P17" i="1" s="1"/>
  <c r="G16" i="1"/>
  <c r="N16" i="1" s="1"/>
  <c r="G15" i="1"/>
  <c r="N15" i="1" s="1"/>
  <c r="P15" i="1" s="1"/>
  <c r="G14" i="1"/>
  <c r="N14" i="1" s="1"/>
  <c r="G13" i="1"/>
  <c r="N13" i="1" s="1"/>
  <c r="P13" i="1" s="1"/>
  <c r="G47" i="1" l="1"/>
  <c r="G59" i="1"/>
  <c r="G71" i="1"/>
  <c r="G83" i="1"/>
  <c r="G33" i="1"/>
  <c r="N31" i="1"/>
  <c r="P31" i="1" s="1"/>
  <c r="P33" i="1" s="1"/>
  <c r="G108" i="1"/>
  <c r="P105" i="1"/>
  <c r="P119" i="1"/>
  <c r="P14" i="1"/>
  <c r="P35" i="1"/>
  <c r="P38" i="1"/>
  <c r="P45" i="1"/>
  <c r="P51" i="1"/>
  <c r="Q57" i="1"/>
  <c r="P57" i="1"/>
  <c r="P63" i="1"/>
  <c r="P69" i="1"/>
  <c r="P75" i="1"/>
  <c r="P81" i="1"/>
  <c r="P87" i="1"/>
  <c r="P93" i="1"/>
  <c r="P120" i="1"/>
  <c r="P25" i="1"/>
  <c r="G115" i="1"/>
  <c r="N109" i="1"/>
  <c r="P160" i="1"/>
  <c r="K165" i="1" s="1"/>
  <c r="Q70" i="1"/>
  <c r="N108" i="1"/>
  <c r="Q105" i="1" s="1"/>
  <c r="Q103" i="1"/>
  <c r="Q108" i="1" s="1"/>
  <c r="P103" i="1"/>
  <c r="P64" i="1"/>
  <c r="P70" i="1"/>
  <c r="P88" i="1"/>
  <c r="P94" i="1"/>
  <c r="P23" i="1"/>
  <c r="P43" i="1"/>
  <c r="Q55" i="1"/>
  <c r="P55" i="1"/>
  <c r="P61" i="1"/>
  <c r="Q67" i="1"/>
  <c r="P67" i="1"/>
  <c r="P85" i="1"/>
  <c r="P91" i="1"/>
  <c r="N19" i="1"/>
  <c r="Q17" i="1" s="1"/>
  <c r="Q52" i="1"/>
  <c r="Q58" i="1"/>
  <c r="G102" i="1"/>
  <c r="N97" i="1"/>
  <c r="P16" i="1"/>
  <c r="P46" i="1"/>
  <c r="P52" i="1"/>
  <c r="G20" i="1"/>
  <c r="D26" i="1"/>
  <c r="Q49" i="1"/>
  <c r="P49" i="1"/>
  <c r="P73" i="1"/>
  <c r="P79" i="1"/>
  <c r="P24" i="1"/>
  <c r="P34" i="1"/>
  <c r="N40" i="1"/>
  <c r="Q37" i="1" s="1"/>
  <c r="P44" i="1"/>
  <c r="P50" i="1"/>
  <c r="P56" i="1"/>
  <c r="P62" i="1"/>
  <c r="P68" i="1"/>
  <c r="P74" i="1"/>
  <c r="P80" i="1"/>
  <c r="P86" i="1"/>
  <c r="P92" i="1"/>
  <c r="P99" i="1"/>
  <c r="P48" i="1"/>
  <c r="N53" i="1"/>
  <c r="Q48" i="1" s="1"/>
  <c r="Q53" i="1" s="1"/>
  <c r="P54" i="1"/>
  <c r="N59" i="1"/>
  <c r="Q54" i="1" s="1"/>
  <c r="Q59" i="1" s="1"/>
  <c r="P60" i="1"/>
  <c r="N65" i="1"/>
  <c r="Q60" i="1" s="1"/>
  <c r="Q65" i="1" s="1"/>
  <c r="P66" i="1"/>
  <c r="N71" i="1"/>
  <c r="Q66" i="1" s="1"/>
  <c r="Q71" i="1" s="1"/>
  <c r="P72" i="1"/>
  <c r="N77" i="1"/>
  <c r="Q72" i="1" s="1"/>
  <c r="Q77" i="1" s="1"/>
  <c r="P78" i="1"/>
  <c r="N83" i="1"/>
  <c r="Q78" i="1" s="1"/>
  <c r="Q83" i="1" s="1"/>
  <c r="P84" i="1"/>
  <c r="N89" i="1"/>
  <c r="Q84" i="1" s="1"/>
  <c r="Q89" i="1" s="1"/>
  <c r="G96" i="1"/>
  <c r="N90" i="1"/>
  <c r="N130" i="1"/>
  <c r="G135" i="1"/>
  <c r="G40" i="1"/>
  <c r="G122" i="1"/>
  <c r="D19" i="1"/>
  <c r="P18" i="1"/>
  <c r="P22" i="1"/>
  <c r="N47" i="1"/>
  <c r="Q43" i="1" s="1"/>
  <c r="N117" i="1"/>
  <c r="G129" i="1"/>
  <c r="G19" i="1"/>
  <c r="P39" i="1"/>
  <c r="P111" i="1"/>
  <c r="N123" i="1"/>
  <c r="P151" i="1"/>
  <c r="K164" i="1" s="1"/>
  <c r="Q13" i="1" l="1"/>
  <c r="Q36" i="1"/>
  <c r="Q81" i="1"/>
  <c r="Q34" i="1"/>
  <c r="Q40" i="1" s="1"/>
  <c r="Q46" i="1"/>
  <c r="Q68" i="1"/>
  <c r="Q107" i="1"/>
  <c r="N33" i="1"/>
  <c r="Q28" i="1" s="1"/>
  <c r="Q56" i="1"/>
  <c r="Q38" i="1"/>
  <c r="Q44" i="1"/>
  <c r="Q80" i="1"/>
  <c r="Q35" i="1"/>
  <c r="Q39" i="1"/>
  <c r="P89" i="1"/>
  <c r="P65" i="1"/>
  <c r="Q88" i="1"/>
  <c r="N115" i="1"/>
  <c r="P109" i="1"/>
  <c r="Q87" i="1"/>
  <c r="Q63" i="1"/>
  <c r="I164" i="1"/>
  <c r="J164" i="1" s="1"/>
  <c r="K169" i="1"/>
  <c r="I169" i="1" s="1"/>
  <c r="J169" i="1" s="1"/>
  <c r="Q86" i="1"/>
  <c r="Q62" i="1"/>
  <c r="Q16" i="1"/>
  <c r="Q85" i="1"/>
  <c r="N135" i="1"/>
  <c r="P130" i="1"/>
  <c r="P59" i="1"/>
  <c r="P40" i="1"/>
  <c r="N102" i="1"/>
  <c r="Q97" i="1"/>
  <c r="Q102" i="1" s="1"/>
  <c r="P97" i="1"/>
  <c r="P77" i="1"/>
  <c r="P90" i="1"/>
  <c r="N96" i="1"/>
  <c r="Q90" i="1"/>
  <c r="Q96" i="1" s="1"/>
  <c r="Q18" i="1"/>
  <c r="P19" i="1"/>
  <c r="P83" i="1"/>
  <c r="N20" i="1"/>
  <c r="G26" i="1"/>
  <c r="Q64" i="1"/>
  <c r="Q31" i="1"/>
  <c r="N129" i="1"/>
  <c r="P123" i="1"/>
  <c r="P117" i="1"/>
  <c r="N122" i="1"/>
  <c r="P53" i="1"/>
  <c r="Q79" i="1"/>
  <c r="P108" i="1"/>
  <c r="Q75" i="1"/>
  <c r="Q51" i="1"/>
  <c r="Q42" i="1"/>
  <c r="Q41" i="1"/>
  <c r="Q47" i="1" s="1"/>
  <c r="Q74" i="1"/>
  <c r="Q50" i="1"/>
  <c r="Q82" i="1"/>
  <c r="Q61" i="1"/>
  <c r="P71" i="1"/>
  <c r="Q73" i="1"/>
  <c r="Q76" i="1"/>
  <c r="Q104" i="1"/>
  <c r="Q106" i="1"/>
  <c r="K170" i="1"/>
  <c r="I170" i="1" s="1"/>
  <c r="J170" i="1" s="1"/>
  <c r="I165" i="1"/>
  <c r="J165" i="1" s="1"/>
  <c r="Q15" i="1"/>
  <c r="Q69" i="1"/>
  <c r="Q45" i="1"/>
  <c r="Q14" i="1"/>
  <c r="P47" i="1"/>
  <c r="Q19" i="1" l="1"/>
  <c r="Q32" i="1"/>
  <c r="Q29" i="1"/>
  <c r="Q27" i="1"/>
  <c r="Q33" i="1" s="1"/>
  <c r="Q30" i="1"/>
  <c r="P102" i="1"/>
  <c r="Q93" i="1"/>
  <c r="Q95" i="1"/>
  <c r="Q92" i="1"/>
  <c r="Q94" i="1"/>
  <c r="Q91" i="1"/>
  <c r="P135" i="1"/>
  <c r="P96" i="1"/>
  <c r="Q100" i="1"/>
  <c r="Q99" i="1"/>
  <c r="Q101" i="1"/>
  <c r="Q98" i="1"/>
  <c r="P115" i="1"/>
  <c r="Q118" i="1"/>
  <c r="Q120" i="1"/>
  <c r="Q119" i="1"/>
  <c r="Q116" i="1"/>
  <c r="Q122" i="1" s="1"/>
  <c r="Q112" i="1"/>
  <c r="Q110" i="1"/>
  <c r="Q111" i="1"/>
  <c r="Q113" i="1"/>
  <c r="P122" i="1"/>
  <c r="P20" i="1"/>
  <c r="N26" i="1"/>
  <c r="Q109" i="1"/>
  <c r="Q115" i="1" s="1"/>
  <c r="Q117" i="1"/>
  <c r="P129" i="1"/>
  <c r="P26" i="1" l="1"/>
  <c r="P136" i="1" s="1"/>
  <c r="K163" i="1" s="1"/>
  <c r="K166" i="1" s="1"/>
  <c r="Q24" i="1"/>
  <c r="Q21" i="1"/>
  <c r="Q23" i="1"/>
  <c r="Q25" i="1"/>
  <c r="Q22" i="1"/>
  <c r="Q20" i="1"/>
  <c r="Q26" i="1" l="1"/>
  <c r="I163" i="1"/>
  <c r="K168" i="1"/>
  <c r="I168" i="1" l="1"/>
  <c r="K171" i="1"/>
  <c r="K179" i="1" s="1"/>
  <c r="R95" i="1"/>
  <c r="K4" i="1"/>
  <c r="R104" i="1"/>
  <c r="R113" i="1"/>
  <c r="R41" i="1"/>
  <c r="R58" i="1"/>
  <c r="R114" i="1"/>
  <c r="R17" i="1"/>
  <c r="R153" i="1"/>
  <c r="R106" i="1"/>
  <c r="R155" i="1"/>
  <c r="R147" i="1"/>
  <c r="R140" i="1"/>
  <c r="R110" i="1"/>
  <c r="R42" i="1"/>
  <c r="R149" i="1"/>
  <c r="R112" i="1"/>
  <c r="R28" i="1"/>
  <c r="R121" i="1"/>
  <c r="R118" i="1"/>
  <c r="R100" i="1"/>
  <c r="R29" i="1"/>
  <c r="R157" i="1"/>
  <c r="R101" i="1"/>
  <c r="R13" i="1"/>
  <c r="R138" i="1"/>
  <c r="R36" i="1"/>
  <c r="R30" i="1"/>
  <c r="R82" i="1"/>
  <c r="R15" i="1"/>
  <c r="R156" i="1"/>
  <c r="R107" i="1"/>
  <c r="R144" i="1"/>
  <c r="R76" i="1"/>
  <c r="R21" i="1"/>
  <c r="R116" i="1"/>
  <c r="R131" i="1"/>
  <c r="R132" i="1"/>
  <c r="R125" i="1"/>
  <c r="R139" i="1"/>
  <c r="R98" i="1"/>
  <c r="R128" i="1"/>
  <c r="R27" i="1"/>
  <c r="R127" i="1"/>
  <c r="R145" i="1"/>
  <c r="R37" i="1"/>
  <c r="R32" i="1"/>
  <c r="R134" i="1"/>
  <c r="R126" i="1"/>
  <c r="R142" i="1"/>
  <c r="R31" i="1"/>
  <c r="R141" i="1"/>
  <c r="R154" i="1"/>
  <c r="R143" i="1"/>
  <c r="R133" i="1"/>
  <c r="R146" i="1"/>
  <c r="R150" i="1"/>
  <c r="R158" i="1"/>
  <c r="R148" i="1"/>
  <c r="R159" i="1"/>
  <c r="R124" i="1"/>
  <c r="R49" i="1"/>
  <c r="R60" i="1"/>
  <c r="R70" i="1"/>
  <c r="R81" i="1"/>
  <c r="R75" i="1"/>
  <c r="R51" i="1"/>
  <c r="R61" i="1"/>
  <c r="R99" i="1"/>
  <c r="R66" i="1"/>
  <c r="R55" i="1"/>
  <c r="R67" i="1"/>
  <c r="R46" i="1"/>
  <c r="R57" i="1"/>
  <c r="R86" i="1"/>
  <c r="R72" i="1"/>
  <c r="R93" i="1"/>
  <c r="R62" i="1"/>
  <c r="R119" i="1"/>
  <c r="R94" i="1"/>
  <c r="R14" i="1"/>
  <c r="R88" i="1"/>
  <c r="R92" i="1"/>
  <c r="R18" i="1"/>
  <c r="R35" i="1"/>
  <c r="R34" i="1"/>
  <c r="R69" i="1"/>
  <c r="R111" i="1"/>
  <c r="R103" i="1"/>
  <c r="R74" i="1"/>
  <c r="R87" i="1"/>
  <c r="R68" i="1"/>
  <c r="R56" i="1"/>
  <c r="R45" i="1"/>
  <c r="R48" i="1"/>
  <c r="R73" i="1"/>
  <c r="R50" i="1"/>
  <c r="R63" i="1"/>
  <c r="R44" i="1"/>
  <c r="R120" i="1"/>
  <c r="R25" i="1"/>
  <c r="R79" i="1"/>
  <c r="R22" i="1"/>
  <c r="R16" i="1"/>
  <c r="R80" i="1"/>
  <c r="R105" i="1"/>
  <c r="R52" i="1"/>
  <c r="R84" i="1"/>
  <c r="R85" i="1"/>
  <c r="R39" i="1"/>
  <c r="R23" i="1"/>
  <c r="R24" i="1"/>
  <c r="R43" i="1"/>
  <c r="R38" i="1"/>
  <c r="R64" i="1"/>
  <c r="R54" i="1"/>
  <c r="R78" i="1"/>
  <c r="R91" i="1"/>
  <c r="R130" i="1"/>
  <c r="R109" i="1"/>
  <c r="R117" i="1"/>
  <c r="R123" i="1"/>
  <c r="R97" i="1"/>
  <c r="R90" i="1"/>
  <c r="R20" i="1"/>
  <c r="J163" i="1"/>
  <c r="J166" i="1" s="1"/>
  <c r="I166" i="1"/>
  <c r="R83" i="1" l="1"/>
  <c r="R47" i="1"/>
  <c r="R26" i="1"/>
  <c r="R96" i="1"/>
  <c r="R89" i="1"/>
  <c r="R77" i="1"/>
  <c r="R122" i="1"/>
  <c r="R102" i="1"/>
  <c r="R33" i="1"/>
  <c r="R59" i="1"/>
  <c r="R160" i="1"/>
  <c r="L165" i="1" s="1"/>
  <c r="R115" i="1"/>
  <c r="R135" i="1"/>
  <c r="R53" i="1"/>
  <c r="R65" i="1"/>
  <c r="R129" i="1"/>
  <c r="R151" i="1"/>
  <c r="L164" i="1" s="1"/>
  <c r="R108" i="1"/>
  <c r="R19" i="1"/>
  <c r="R40" i="1"/>
  <c r="R71" i="1"/>
  <c r="I171" i="1"/>
  <c r="I179" i="1" s="1"/>
  <c r="J168" i="1"/>
  <c r="J171" i="1" s="1"/>
  <c r="J179" i="1" s="1"/>
  <c r="R136" i="1" l="1"/>
  <c r="L163" i="1" s="1"/>
  <c r="L166" i="1" s="1"/>
</calcChain>
</file>

<file path=xl/sharedStrings.xml><?xml version="1.0" encoding="utf-8"?>
<sst xmlns="http://schemas.openxmlformats.org/spreadsheetml/2006/main" count="228" uniqueCount="82">
  <si>
    <t xml:space="preserve">Artist / Event: </t>
  </si>
  <si>
    <t>Hauser</t>
  </si>
  <si>
    <t>Merch Rep:</t>
  </si>
  <si>
    <t>Courtney</t>
  </si>
  <si>
    <t xml:space="preserve">City: </t>
  </si>
  <si>
    <t>Melbourne</t>
  </si>
  <si>
    <t>Attendance:</t>
  </si>
  <si>
    <t xml:space="preserve"> </t>
  </si>
  <si>
    <t xml:space="preserve">Venue: </t>
  </si>
  <si>
    <t>Margaret Court Arena</t>
  </si>
  <si>
    <t>Per Head:</t>
  </si>
  <si>
    <t xml:space="preserve">Date: </t>
  </si>
  <si>
    <t>Leftover Tour Stock:</t>
  </si>
  <si>
    <t xml:space="preserve">On production truck </t>
  </si>
  <si>
    <t>MERCHANDISE SALES SHEET</t>
  </si>
  <si>
    <t>SHOW STOCK</t>
  </si>
  <si>
    <t xml:space="preserve">OPEN </t>
  </si>
  <si>
    <t>ADD</t>
  </si>
  <si>
    <t>SHORT</t>
  </si>
  <si>
    <t>OVER</t>
  </si>
  <si>
    <t>TOTAL</t>
  </si>
  <si>
    <t>CLOSE</t>
  </si>
  <si>
    <t>PULL</t>
  </si>
  <si>
    <t>DAMAGE</t>
  </si>
  <si>
    <t>ARTIST</t>
  </si>
  <si>
    <t>SONY</t>
  </si>
  <si>
    <t>UNIT</t>
  </si>
  <si>
    <t>GROSS</t>
  </si>
  <si>
    <t>ITEM</t>
  </si>
  <si>
    <t>SZ</t>
  </si>
  <si>
    <t xml:space="preserve">STOCK </t>
  </si>
  <si>
    <t>STOCK</t>
  </si>
  <si>
    <t>THEFT</t>
  </si>
  <si>
    <t>COMPS</t>
  </si>
  <si>
    <t>SOLD</t>
  </si>
  <si>
    <t>PRICE</t>
  </si>
  <si>
    <t>SALES</t>
  </si>
  <si>
    <t>% Splits</t>
  </si>
  <si>
    <t>%</t>
  </si>
  <si>
    <t>TRUCK</t>
  </si>
  <si>
    <t>x</t>
  </si>
  <si>
    <t>APPAREL</t>
  </si>
  <si>
    <t>Black Tour TS</t>
  </si>
  <si>
    <t>S</t>
  </si>
  <si>
    <t>M</t>
  </si>
  <si>
    <t>L</t>
  </si>
  <si>
    <t>XL</t>
  </si>
  <si>
    <t>2XL</t>
  </si>
  <si>
    <t>3XL</t>
  </si>
  <si>
    <t>Sub Total</t>
  </si>
  <si>
    <t>Gold Crewneck</t>
  </si>
  <si>
    <t>Garment</t>
  </si>
  <si>
    <t>XS</t>
  </si>
  <si>
    <t>ACCESSORIES</t>
  </si>
  <si>
    <t>Tote Bag</t>
  </si>
  <si>
    <t>OS</t>
  </si>
  <si>
    <t>Keyring</t>
  </si>
  <si>
    <t>Programme</t>
  </si>
  <si>
    <t>MEDIA</t>
  </si>
  <si>
    <t>CD - Classic Deluxe</t>
  </si>
  <si>
    <t>CD - The Player</t>
  </si>
  <si>
    <t>CD - Classic</t>
  </si>
  <si>
    <t>CD - Christmas</t>
  </si>
  <si>
    <t>Net</t>
  </si>
  <si>
    <t>GST (10%)</t>
  </si>
  <si>
    <t>Gross</t>
  </si>
  <si>
    <t>apparel</t>
  </si>
  <si>
    <t>accessories</t>
  </si>
  <si>
    <t>media</t>
  </si>
  <si>
    <t>VENUE FEES</t>
  </si>
  <si>
    <t>MISC FEES</t>
  </si>
  <si>
    <t>vending</t>
  </si>
  <si>
    <t>expenses</t>
  </si>
  <si>
    <t>NET</t>
  </si>
  <si>
    <t>CD - Classic Two</t>
  </si>
  <si>
    <t>0S</t>
  </si>
  <si>
    <t>CD - Classic Two (signed)</t>
  </si>
  <si>
    <t>CD is cracked, 30 signed CD's are smudged (selling at $35)</t>
  </si>
  <si>
    <t>Toula 3 - 7</t>
  </si>
  <si>
    <t>Joel 4 - 11.30</t>
  </si>
  <si>
    <t>Lana 6 - 11</t>
  </si>
  <si>
    <t>Toula Monday/Tuesday 1-3 (Monday).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</si>
</sst>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164" formatCode="dd\/mm\/yyyy"/>
    <numFmt numFmtId="165" formatCode="[$$-409]\ #,##0;[Red][$$-409]\ #,##0"/>
    <numFmt numFmtId="166" formatCode="0.0%"/>
    <numFmt numFmtId="167" formatCode="_-* #,##0.00_-;\-* #,##0.00_-;_-* &quot;-&quot;??_-;_-@_-"/>
    <numFmt numFmtId="168" formatCode="_(* #,##0.00_);_(* \(#,##0.00\);_(* &quot;-&quot;_);_(@_)"/>
    <numFmt numFmtId="169" formatCode="&quot;$&quot;#,##0.00;[Red]\-&quot;$&quot;#,##0.00"/>
    <numFmt numFmtId="170" formatCode="&quot;$&quot;#,##0"/>
  </numFmts>
  <fonts count="3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Aptos Narrow"/>
      <family val="2"/>
      <scheme val="minor"/>
    </font>
    <font>
      <sz val="10"/>
      <color indexed="8"/>
      <name val="Verdana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  <font>
      <sz val="10"/>
      <color indexed="63"/>
      <name val="Calibri"/>
      <family val="2"/>
    </font>
    <font>
      <sz val="11"/>
      <color indexed="8"/>
      <name val="Calibri"/>
      <family val="2"/>
    </font>
    <font>
      <sz val="9"/>
      <color indexed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color rgb="FF3366FF"/>
      <name val="Calibri"/>
      <family val="2"/>
    </font>
    <font>
      <b/>
      <sz val="9"/>
      <color rgb="FFFF6600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9"/>
      <color rgb="FFFF0000"/>
      <name val="Calibri"/>
      <family val="2"/>
    </font>
    <font>
      <b/>
      <sz val="12"/>
      <color indexed="8"/>
      <name val="Calibri"/>
      <family val="2"/>
    </font>
    <font>
      <b/>
      <sz val="10"/>
      <color indexed="10"/>
      <name val="Calibri"/>
      <family val="2"/>
    </font>
    <font>
      <sz val="12"/>
      <color indexed="8"/>
      <name val="Times New Roman"/>
      <family val="1"/>
    </font>
    <font>
      <sz val="10"/>
      <name val="Verdana"/>
      <family val="2"/>
    </font>
    <font>
      <b/>
      <i/>
      <sz val="9"/>
      <name val="Calibri"/>
      <family val="2"/>
    </font>
    <font>
      <sz val="9"/>
      <name val="Geneva"/>
      <family val="2"/>
    </font>
    <font>
      <b/>
      <i/>
      <sz val="10"/>
      <name val="Calibri"/>
      <family val="2"/>
    </font>
    <font>
      <b/>
      <sz val="14"/>
      <name val="Calibri"/>
      <family val="2"/>
    </font>
    <font>
      <b/>
      <sz val="10"/>
      <color indexed="9"/>
      <name val="Calibri"/>
      <family val="2"/>
    </font>
    <font>
      <u/>
      <sz val="10"/>
      <color theme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C6E8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1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/>
    <xf numFmtId="0" fontId="8" fillId="0" borderId="0"/>
    <xf numFmtId="9" fontId="5" fillId="0" borderId="0"/>
    <xf numFmtId="165" fontId="5" fillId="0" borderId="0"/>
    <xf numFmtId="0" fontId="29" fillId="0" borderId="0"/>
    <xf numFmtId="0" fontId="31" fillId="0" borderId="0"/>
    <xf numFmtId="0" fontId="10" fillId="0" borderId="0" applyNumberFormat="0" applyFill="0" applyBorder="0" applyAlignment="0" applyProtection="0"/>
  </cellStyleXfs>
  <cellXfs count="277">
    <xf numFmtId="0" fontId="0" fillId="0" borderId="0" xfId="0"/>
    <xf numFmtId="0" fontId="2" fillId="0" borderId="0" xfId="3" applyFont="1"/>
    <xf numFmtId="0" fontId="3" fillId="0" borderId="0" xfId="3" applyFont="1" applyAlignment="1">
      <alignment horizontal="right"/>
    </xf>
    <xf numFmtId="44" fontId="2" fillId="0" borderId="0" xfId="1" applyFont="1"/>
    <xf numFmtId="9" fontId="2" fillId="0" borderId="0" xfId="2" applyFont="1"/>
    <xf numFmtId="44" fontId="0" fillId="0" borderId="0" xfId="1" applyFont="1"/>
    <xf numFmtId="0" fontId="6" fillId="0" borderId="0" xfId="4" applyFont="1" applyProtection="1">
      <protection locked="0"/>
    </xf>
    <xf numFmtId="0" fontId="7" fillId="0" borderId="0" xfId="4" applyFont="1" applyAlignment="1">
      <alignment horizontal="center"/>
    </xf>
    <xf numFmtId="2" fontId="7" fillId="0" borderId="0" xfId="4" applyNumberFormat="1" applyFont="1" applyAlignment="1">
      <alignment horizontal="right"/>
    </xf>
    <xf numFmtId="0" fontId="6" fillId="0" borderId="0" xfId="4" applyFont="1"/>
    <xf numFmtId="0" fontId="3" fillId="0" borderId="0" xfId="3" applyFont="1"/>
    <xf numFmtId="0" fontId="9" fillId="0" borderId="0" xfId="5" applyFont="1"/>
    <xf numFmtId="44" fontId="10" fillId="0" borderId="0" xfId="1" applyFont="1"/>
    <xf numFmtId="9" fontId="10" fillId="0" borderId="0" xfId="2" applyFont="1"/>
    <xf numFmtId="0" fontId="7" fillId="0" borderId="0" xfId="4" applyFont="1" applyAlignment="1">
      <alignment horizontal="right"/>
    </xf>
    <xf numFmtId="0" fontId="6" fillId="0" borderId="0" xfId="3" applyFont="1"/>
    <xf numFmtId="0" fontId="7" fillId="0" borderId="0" xfId="4" applyFont="1" applyAlignment="1">
      <alignment horizontal="left"/>
    </xf>
    <xf numFmtId="0" fontId="2" fillId="0" borderId="0" xfId="3" applyFont="1" applyAlignment="1">
      <alignment horizontal="center"/>
    </xf>
    <xf numFmtId="0" fontId="11" fillId="0" borderId="0" xfId="3" applyFont="1"/>
    <xf numFmtId="164" fontId="7" fillId="0" borderId="0" xfId="4" applyNumberFormat="1" applyFont="1" applyAlignment="1">
      <alignment horizontal="left"/>
    </xf>
    <xf numFmtId="4" fontId="7" fillId="0" borderId="0" xfId="4" applyNumberFormat="1" applyFont="1"/>
    <xf numFmtId="4" fontId="3" fillId="0" borderId="0" xfId="4" applyNumberFormat="1" applyFont="1" applyAlignment="1">
      <alignment horizontal="right"/>
    </xf>
    <xf numFmtId="0" fontId="12" fillId="0" borderId="0" xfId="4" applyFont="1"/>
    <xf numFmtId="2" fontId="12" fillId="0" borderId="0" xfId="4" applyNumberFormat="1" applyFont="1" applyAlignment="1">
      <alignment horizontal="center"/>
    </xf>
    <xf numFmtId="44" fontId="12" fillId="0" borderId="0" xfId="1" applyFont="1" applyAlignment="1" applyProtection="1">
      <alignment horizontal="center"/>
      <protection locked="0"/>
    </xf>
    <xf numFmtId="9" fontId="12" fillId="0" borderId="0" xfId="2" applyFont="1" applyAlignment="1" applyProtection="1">
      <alignment horizontal="center"/>
      <protection locked="0"/>
    </xf>
    <xf numFmtId="0" fontId="13" fillId="0" borderId="0" xfId="4" applyFont="1"/>
    <xf numFmtId="0" fontId="13" fillId="0" borderId="0" xfId="4" applyFont="1" applyAlignment="1">
      <alignment horizontal="left"/>
    </xf>
    <xf numFmtId="4" fontId="13" fillId="0" borderId="0" xfId="4" applyNumberFormat="1" applyFont="1"/>
    <xf numFmtId="2" fontId="13" fillId="0" borderId="0" xfId="4" applyNumberFormat="1" applyFont="1" applyAlignment="1">
      <alignment horizontal="center"/>
    </xf>
    <xf numFmtId="44" fontId="13" fillId="0" borderId="0" xfId="1" applyFont="1" applyProtection="1">
      <protection hidden="1"/>
    </xf>
    <xf numFmtId="9" fontId="13" fillId="0" borderId="0" xfId="2" applyFont="1" applyProtection="1">
      <protection hidden="1"/>
    </xf>
    <xf numFmtId="2" fontId="13" fillId="0" borderId="0" xfId="4" applyNumberFormat="1" applyFont="1" applyAlignment="1" applyProtection="1">
      <alignment horizontal="center"/>
      <protection locked="0"/>
    </xf>
    <xf numFmtId="0" fontId="14" fillId="2" borderId="3" xfId="4" applyFont="1" applyFill="1" applyBorder="1" applyAlignment="1">
      <alignment horizontal="center"/>
    </xf>
    <xf numFmtId="0" fontId="14" fillId="2" borderId="4" xfId="4" applyFont="1" applyFill="1" applyBorder="1" applyAlignment="1">
      <alignment horizontal="center"/>
    </xf>
    <xf numFmtId="4" fontId="14" fillId="2" borderId="4" xfId="4" applyNumberFormat="1" applyFont="1" applyFill="1" applyBorder="1" applyAlignment="1">
      <alignment horizontal="center"/>
    </xf>
    <xf numFmtId="44" fontId="14" fillId="2" borderId="4" xfId="1" applyFont="1" applyFill="1" applyBorder="1" applyAlignment="1" applyProtection="1">
      <alignment horizontal="center"/>
      <protection hidden="1"/>
    </xf>
    <xf numFmtId="9" fontId="14" fillId="2" borderId="5" xfId="2" applyFont="1" applyFill="1" applyBorder="1" applyAlignment="1" applyProtection="1">
      <alignment horizontal="center"/>
      <protection hidden="1"/>
    </xf>
    <xf numFmtId="4" fontId="14" fillId="2" borderId="6" xfId="4" applyNumberFormat="1" applyFont="1" applyFill="1" applyBorder="1" applyAlignment="1" applyProtection="1">
      <alignment horizontal="center"/>
      <protection locked="0"/>
    </xf>
    <xf numFmtId="0" fontId="14" fillId="2" borderId="7" xfId="4" applyFont="1" applyFill="1" applyBorder="1" applyAlignment="1">
      <alignment horizontal="center"/>
    </xf>
    <xf numFmtId="0" fontId="14" fillId="2" borderId="8" xfId="4" applyFont="1" applyFill="1" applyBorder="1" applyAlignment="1">
      <alignment horizontal="center"/>
    </xf>
    <xf numFmtId="3" fontId="14" fillId="2" borderId="8" xfId="4" applyNumberFormat="1" applyFont="1" applyFill="1" applyBorder="1" applyAlignment="1">
      <alignment horizontal="center"/>
    </xf>
    <xf numFmtId="4" fontId="14" fillId="2" borderId="8" xfId="4" applyNumberFormat="1" applyFont="1" applyFill="1" applyBorder="1" applyAlignment="1">
      <alignment horizontal="center"/>
    </xf>
    <xf numFmtId="44" fontId="14" fillId="2" borderId="8" xfId="1" applyFont="1" applyFill="1" applyBorder="1" applyAlignment="1" applyProtection="1">
      <alignment horizontal="center"/>
      <protection hidden="1"/>
    </xf>
    <xf numFmtId="9" fontId="14" fillId="2" borderId="9" xfId="2" applyFont="1" applyFill="1" applyBorder="1" applyAlignment="1" applyProtection="1">
      <alignment horizontal="center"/>
      <protection hidden="1"/>
    </xf>
    <xf numFmtId="4" fontId="15" fillId="2" borderId="10" xfId="4" applyNumberFormat="1" applyFont="1" applyFill="1" applyBorder="1" applyAlignment="1" applyProtection="1">
      <alignment horizontal="center"/>
      <protection locked="0"/>
    </xf>
    <xf numFmtId="0" fontId="14" fillId="2" borderId="11" xfId="4" applyFont="1" applyFill="1" applyBorder="1" applyAlignment="1">
      <alignment horizontal="center"/>
    </xf>
    <xf numFmtId="0" fontId="14" fillId="2" borderId="12" xfId="4" applyFont="1" applyFill="1" applyBorder="1" applyAlignment="1">
      <alignment horizontal="center"/>
    </xf>
    <xf numFmtId="3" fontId="14" fillId="2" borderId="12" xfId="4" applyNumberFormat="1" applyFont="1" applyFill="1" applyBorder="1" applyAlignment="1">
      <alignment horizontal="center"/>
    </xf>
    <xf numFmtId="4" fontId="14" fillId="2" borderId="12" xfId="4" applyNumberFormat="1" applyFont="1" applyFill="1" applyBorder="1" applyAlignment="1">
      <alignment horizontal="center"/>
    </xf>
    <xf numFmtId="44" fontId="15" fillId="2" borderId="12" xfId="1" applyFont="1" applyFill="1" applyBorder="1" applyAlignment="1" applyProtection="1">
      <alignment horizontal="center"/>
      <protection hidden="1"/>
    </xf>
    <xf numFmtId="9" fontId="15" fillId="2" borderId="13" xfId="2" applyFont="1" applyFill="1" applyBorder="1" applyAlignment="1" applyProtection="1">
      <alignment horizontal="center"/>
      <protection hidden="1"/>
    </xf>
    <xf numFmtId="4" fontId="14" fillId="2" borderId="14" xfId="4" applyNumberFormat="1" applyFont="1" applyFill="1" applyBorder="1" applyAlignment="1" applyProtection="1">
      <alignment horizontal="center"/>
      <protection locked="0"/>
    </xf>
    <xf numFmtId="0" fontId="14" fillId="0" borderId="0" xfId="4" applyFont="1" applyAlignment="1">
      <alignment horizontal="center"/>
    </xf>
    <xf numFmtId="3" fontId="14" fillId="0" borderId="0" xfId="4" applyNumberFormat="1" applyFont="1" applyAlignment="1">
      <alignment horizontal="center"/>
    </xf>
    <xf numFmtId="3" fontId="16" fillId="0" borderId="0" xfId="4" applyNumberFormat="1" applyFont="1" applyAlignment="1">
      <alignment horizontal="center"/>
    </xf>
    <xf numFmtId="4" fontId="14" fillId="0" borderId="0" xfId="4" applyNumberFormat="1" applyFont="1" applyAlignment="1">
      <alignment horizontal="center"/>
    </xf>
    <xf numFmtId="44" fontId="15" fillId="0" borderId="0" xfId="1" applyFont="1" applyAlignment="1" applyProtection="1">
      <alignment horizontal="center"/>
      <protection hidden="1"/>
    </xf>
    <xf numFmtId="9" fontId="15" fillId="0" borderId="0" xfId="2" applyFont="1" applyAlignment="1" applyProtection="1">
      <alignment horizontal="center"/>
      <protection hidden="1"/>
    </xf>
    <xf numFmtId="4" fontId="14" fillId="0" borderId="0" xfId="4" applyNumberFormat="1" applyFont="1" applyAlignment="1" applyProtection="1">
      <alignment horizontal="center"/>
      <protection locked="0"/>
    </xf>
    <xf numFmtId="0" fontId="14" fillId="3" borderId="0" xfId="4" applyFont="1" applyFill="1" applyAlignment="1">
      <alignment horizontal="center"/>
    </xf>
    <xf numFmtId="3" fontId="17" fillId="0" borderId="0" xfId="4" applyNumberFormat="1" applyFont="1" applyAlignment="1">
      <alignment horizontal="center"/>
    </xf>
    <xf numFmtId="0" fontId="18" fillId="4" borderId="15" xfId="4" applyFont="1" applyFill="1" applyBorder="1" applyAlignment="1">
      <alignment wrapText="1"/>
    </xf>
    <xf numFmtId="0" fontId="12" fillId="4" borderId="16" xfId="4" applyFont="1" applyFill="1" applyBorder="1" applyAlignment="1">
      <alignment horizontal="center"/>
    </xf>
    <xf numFmtId="3" fontId="19" fillId="5" borderId="16" xfId="4" applyNumberFormat="1" applyFont="1" applyFill="1" applyBorder="1" applyProtection="1">
      <protection locked="0"/>
    </xf>
    <xf numFmtId="3" fontId="12" fillId="6" borderId="16" xfId="4" applyNumberFormat="1" applyFont="1" applyFill="1" applyBorder="1" applyProtection="1">
      <protection locked="0"/>
    </xf>
    <xf numFmtId="3" fontId="12" fillId="7" borderId="16" xfId="4" applyNumberFormat="1" applyFont="1" applyFill="1" applyBorder="1" applyProtection="1">
      <protection locked="0"/>
    </xf>
    <xf numFmtId="3" fontId="12" fillId="0" borderId="16" xfId="4" applyNumberFormat="1" applyFont="1" applyBorder="1" applyProtection="1">
      <protection locked="0"/>
    </xf>
    <xf numFmtId="3" fontId="20" fillId="0" borderId="16" xfId="4" applyNumberFormat="1" applyFont="1" applyBorder="1" applyProtection="1">
      <protection locked="0"/>
    </xf>
    <xf numFmtId="3" fontId="12" fillId="8" borderId="16" xfId="4" applyNumberFormat="1" applyFont="1" applyFill="1" applyBorder="1" applyProtection="1">
      <protection locked="0"/>
    </xf>
    <xf numFmtId="3" fontId="2" fillId="0" borderId="16" xfId="4" applyNumberFormat="1" applyFont="1" applyBorder="1"/>
    <xf numFmtId="3" fontId="12" fillId="0" borderId="16" xfId="4" applyNumberFormat="1" applyFont="1" applyBorder="1"/>
    <xf numFmtId="165" fontId="21" fillId="9" borderId="16" xfId="4" applyNumberFormat="1" applyFont="1" applyFill="1" applyBorder="1"/>
    <xf numFmtId="44" fontId="12" fillId="0" borderId="16" xfId="1" applyFont="1" applyBorder="1"/>
    <xf numFmtId="9" fontId="12" fillId="0" borderId="17" xfId="2" applyFont="1" applyBorder="1"/>
    <xf numFmtId="166" fontId="12" fillId="0" borderId="18" xfId="6" applyNumberFormat="1" applyFont="1" applyBorder="1"/>
    <xf numFmtId="165" fontId="0" fillId="0" borderId="0" xfId="0" applyNumberFormat="1"/>
    <xf numFmtId="10" fontId="12" fillId="4" borderId="19" xfId="4" applyNumberFormat="1" applyFont="1" applyFill="1" applyBorder="1" applyAlignment="1">
      <alignment wrapText="1"/>
    </xf>
    <xf numFmtId="0" fontId="12" fillId="4" borderId="20" xfId="4" applyFont="1" applyFill="1" applyBorder="1" applyAlignment="1">
      <alignment horizontal="center"/>
    </xf>
    <xf numFmtId="3" fontId="19" fillId="5" borderId="20" xfId="4" applyNumberFormat="1" applyFont="1" applyFill="1" applyBorder="1" applyProtection="1">
      <protection locked="0"/>
    </xf>
    <xf numFmtId="3" fontId="12" fillId="6" borderId="20" xfId="4" applyNumberFormat="1" applyFont="1" applyFill="1" applyBorder="1" applyProtection="1">
      <protection locked="0"/>
    </xf>
    <xf numFmtId="3" fontId="12" fillId="7" borderId="20" xfId="4" applyNumberFormat="1" applyFont="1" applyFill="1" applyBorder="1" applyProtection="1">
      <protection locked="0"/>
    </xf>
    <xf numFmtId="3" fontId="12" fillId="0" borderId="20" xfId="4" applyNumberFormat="1" applyFont="1" applyBorder="1" applyProtection="1">
      <protection locked="0"/>
    </xf>
    <xf numFmtId="3" fontId="20" fillId="0" borderId="20" xfId="4" applyNumberFormat="1" applyFont="1" applyBorder="1" applyProtection="1">
      <protection locked="0"/>
    </xf>
    <xf numFmtId="3" fontId="12" fillId="8" borderId="20" xfId="4" applyNumberFormat="1" applyFont="1" applyFill="1" applyBorder="1" applyProtection="1">
      <protection locked="0"/>
    </xf>
    <xf numFmtId="3" fontId="2" fillId="0" borderId="20" xfId="4" applyNumberFormat="1" applyFont="1" applyBorder="1"/>
    <xf numFmtId="3" fontId="12" fillId="0" borderId="20" xfId="4" applyNumberFormat="1" applyFont="1" applyBorder="1"/>
    <xf numFmtId="165" fontId="21" fillId="9" borderId="20" xfId="4" applyNumberFormat="1" applyFont="1" applyFill="1" applyBorder="1"/>
    <xf numFmtId="44" fontId="12" fillId="0" borderId="20" xfId="1" applyFont="1" applyBorder="1"/>
    <xf numFmtId="9" fontId="12" fillId="0" borderId="21" xfId="2" applyFont="1" applyBorder="1"/>
    <xf numFmtId="166" fontId="12" fillId="0" borderId="22" xfId="6" applyNumberFormat="1" applyFont="1" applyBorder="1"/>
    <xf numFmtId="0" fontId="12" fillId="4" borderId="23" xfId="4" applyFont="1" applyFill="1" applyBorder="1" applyAlignment="1">
      <alignment wrapText="1"/>
    </xf>
    <xf numFmtId="0" fontId="12" fillId="4" borderId="23" xfId="4" applyFont="1" applyFill="1" applyBorder="1" applyAlignment="1">
      <alignment horizontal="left" wrapText="1"/>
    </xf>
    <xf numFmtId="3" fontId="12" fillId="4" borderId="20" xfId="4" applyNumberFormat="1" applyFont="1" applyFill="1" applyBorder="1"/>
    <xf numFmtId="0" fontId="18" fillId="4" borderId="23" xfId="4" applyFont="1" applyFill="1" applyBorder="1"/>
    <xf numFmtId="0" fontId="18" fillId="0" borderId="20" xfId="4" applyFont="1" applyBorder="1" applyAlignment="1">
      <alignment horizontal="center"/>
    </xf>
    <xf numFmtId="3" fontId="18" fillId="5" borderId="20" xfId="4" applyNumberFormat="1" applyFont="1" applyFill="1" applyBorder="1" applyProtection="1">
      <protection locked="0"/>
    </xf>
    <xf numFmtId="3" fontId="18" fillId="6" borderId="20" xfId="4" applyNumberFormat="1" applyFont="1" applyFill="1" applyBorder="1" applyProtection="1">
      <protection locked="0"/>
    </xf>
    <xf numFmtId="3" fontId="18" fillId="7" borderId="20" xfId="4" applyNumberFormat="1" applyFont="1" applyFill="1" applyBorder="1" applyProtection="1">
      <protection locked="0"/>
    </xf>
    <xf numFmtId="3" fontId="18" fillId="0" borderId="20" xfId="4" applyNumberFormat="1" applyFont="1" applyBorder="1" applyProtection="1">
      <protection locked="0"/>
    </xf>
    <xf numFmtId="3" fontId="18" fillId="8" borderId="20" xfId="4" applyNumberFormat="1" applyFont="1" applyFill="1" applyBorder="1" applyProtection="1">
      <protection locked="0"/>
    </xf>
    <xf numFmtId="44" fontId="18" fillId="0" borderId="20" xfId="1" applyFont="1" applyBorder="1"/>
    <xf numFmtId="9" fontId="18" fillId="0" borderId="20" xfId="2" applyFont="1" applyBorder="1"/>
    <xf numFmtId="4" fontId="18" fillId="0" borderId="20" xfId="4" applyNumberFormat="1" applyFont="1" applyBorder="1"/>
    <xf numFmtId="0" fontId="18" fillId="4" borderId="23" xfId="4" applyFont="1" applyFill="1" applyBorder="1" applyAlignment="1">
      <alignment wrapText="1"/>
    </xf>
    <xf numFmtId="0" fontId="12" fillId="0" borderId="20" xfId="4" applyFont="1" applyBorder="1" applyAlignment="1">
      <alignment horizontal="center"/>
    </xf>
    <xf numFmtId="3" fontId="12" fillId="5" borderId="20" xfId="4" applyNumberFormat="1" applyFont="1" applyFill="1" applyBorder="1" applyProtection="1">
      <protection locked="0"/>
    </xf>
    <xf numFmtId="10" fontId="12" fillId="4" borderId="23" xfId="4" applyNumberFormat="1" applyFont="1" applyFill="1" applyBorder="1" applyAlignment="1">
      <alignment wrapText="1"/>
    </xf>
    <xf numFmtId="0" fontId="18" fillId="4" borderId="20" xfId="4" applyFont="1" applyFill="1" applyBorder="1" applyAlignment="1">
      <alignment horizontal="center"/>
    </xf>
    <xf numFmtId="3" fontId="22" fillId="0" borderId="20" xfId="4" applyNumberFormat="1" applyFont="1" applyBorder="1" applyProtection="1">
      <protection locked="0"/>
    </xf>
    <xf numFmtId="9" fontId="18" fillId="0" borderId="21" xfId="2" applyFont="1" applyBorder="1"/>
    <xf numFmtId="166" fontId="18" fillId="0" borderId="22" xfId="6" applyNumberFormat="1" applyFont="1" applyBorder="1"/>
    <xf numFmtId="3" fontId="12" fillId="10" borderId="20" xfId="4" applyNumberFormat="1" applyFont="1" applyFill="1" applyBorder="1" applyProtection="1">
      <protection locked="0"/>
    </xf>
    <xf numFmtId="10" fontId="12" fillId="4" borderId="23" xfId="4" applyNumberFormat="1" applyFont="1" applyFill="1" applyBorder="1" applyAlignment="1">
      <alignment horizontal="left" wrapText="1"/>
    </xf>
    <xf numFmtId="44" fontId="12" fillId="4" borderId="20" xfId="1" applyFont="1" applyFill="1" applyBorder="1"/>
    <xf numFmtId="9" fontId="12" fillId="4" borderId="21" xfId="2" applyFont="1" applyFill="1" applyBorder="1"/>
    <xf numFmtId="3" fontId="18" fillId="10" borderId="20" xfId="4" applyNumberFormat="1" applyFont="1" applyFill="1" applyBorder="1" applyProtection="1">
      <protection locked="0"/>
    </xf>
    <xf numFmtId="3" fontId="18" fillId="4" borderId="20" xfId="4" applyNumberFormat="1" applyFont="1" applyFill="1" applyBorder="1" applyProtection="1">
      <protection locked="0"/>
    </xf>
    <xf numFmtId="44" fontId="18" fillId="4" borderId="20" xfId="1" applyFont="1" applyFill="1" applyBorder="1"/>
    <xf numFmtId="9" fontId="18" fillId="4" borderId="20" xfId="2" applyFont="1" applyFill="1" applyBorder="1"/>
    <xf numFmtId="9" fontId="12" fillId="4" borderId="23" xfId="4" applyNumberFormat="1" applyFont="1" applyFill="1" applyBorder="1" applyAlignment="1">
      <alignment wrapText="1"/>
    </xf>
    <xf numFmtId="3" fontId="23" fillId="0" borderId="20" xfId="4" applyNumberFormat="1" applyFont="1" applyBorder="1" applyProtection="1">
      <protection locked="0"/>
    </xf>
    <xf numFmtId="0" fontId="18" fillId="4" borderId="19" xfId="4" applyFont="1" applyFill="1" applyBorder="1" applyAlignment="1">
      <alignment wrapText="1"/>
    </xf>
    <xf numFmtId="0" fontId="12" fillId="0" borderId="24" xfId="4" applyFont="1" applyBorder="1" applyAlignment="1">
      <alignment horizontal="center"/>
    </xf>
    <xf numFmtId="3" fontId="24" fillId="6" borderId="24" xfId="4" applyNumberFormat="1" applyFont="1" applyFill="1" applyBorder="1" applyProtection="1">
      <protection locked="0"/>
    </xf>
    <xf numFmtId="3" fontId="12" fillId="7" borderId="24" xfId="4" applyNumberFormat="1" applyFont="1" applyFill="1" applyBorder="1" applyProtection="1">
      <protection locked="0"/>
    </xf>
    <xf numFmtId="3" fontId="12" fillId="0" borderId="24" xfId="4" applyNumberFormat="1" applyFont="1" applyBorder="1" applyProtection="1">
      <protection locked="0"/>
    </xf>
    <xf numFmtId="3" fontId="19" fillId="0" borderId="24" xfId="4" applyNumberFormat="1" applyFont="1" applyBorder="1" applyProtection="1">
      <protection locked="0"/>
    </xf>
    <xf numFmtId="3" fontId="12" fillId="8" borderId="24" xfId="4" applyNumberFormat="1" applyFont="1" applyFill="1" applyBorder="1" applyProtection="1">
      <protection locked="0"/>
    </xf>
    <xf numFmtId="3" fontId="2" fillId="0" borderId="24" xfId="4" applyNumberFormat="1" applyFont="1" applyBorder="1"/>
    <xf numFmtId="3" fontId="12" fillId="4" borderId="24" xfId="4" applyNumberFormat="1" applyFont="1" applyFill="1" applyBorder="1"/>
    <xf numFmtId="44" fontId="12" fillId="4" borderId="24" xfId="1" applyFont="1" applyFill="1" applyBorder="1"/>
    <xf numFmtId="9" fontId="12" fillId="4" borderId="25" xfId="2" applyFont="1" applyFill="1" applyBorder="1"/>
    <xf numFmtId="166" fontId="12" fillId="0" borderId="26" xfId="6" applyNumberFormat="1" applyFont="1" applyBorder="1"/>
    <xf numFmtId="3" fontId="24" fillId="6" borderId="20" xfId="4" applyNumberFormat="1" applyFont="1" applyFill="1" applyBorder="1" applyProtection="1">
      <protection locked="0"/>
    </xf>
    <xf numFmtId="3" fontId="19" fillId="0" borderId="20" xfId="4" applyNumberFormat="1" applyFont="1" applyBorder="1" applyProtection="1">
      <protection locked="0"/>
    </xf>
    <xf numFmtId="0" fontId="18" fillId="0" borderId="23" xfId="4" applyFont="1" applyBorder="1" applyAlignment="1">
      <alignment wrapText="1"/>
    </xf>
    <xf numFmtId="0" fontId="12" fillId="0" borderId="23" xfId="4" applyFont="1" applyBorder="1" applyAlignment="1">
      <alignment wrapText="1"/>
    </xf>
    <xf numFmtId="10" fontId="12" fillId="0" borderId="23" xfId="4" applyNumberFormat="1" applyFont="1" applyBorder="1" applyAlignment="1">
      <alignment horizontal="left" wrapText="1"/>
    </xf>
    <xf numFmtId="0" fontId="12" fillId="0" borderId="23" xfId="4" applyFont="1" applyBorder="1" applyAlignment="1">
      <alignment horizontal="left" wrapText="1"/>
    </xf>
    <xf numFmtId="0" fontId="18" fillId="0" borderId="23" xfId="4" applyFont="1" applyBorder="1"/>
    <xf numFmtId="9" fontId="12" fillId="4" borderId="23" xfId="4" applyNumberFormat="1" applyFont="1" applyFill="1" applyBorder="1" applyAlignment="1">
      <alignment horizontal="left" wrapText="1"/>
    </xf>
    <xf numFmtId="6" fontId="0" fillId="0" borderId="0" xfId="0" applyNumberFormat="1"/>
    <xf numFmtId="10" fontId="12" fillId="0" borderId="23" xfId="4" applyNumberFormat="1" applyFont="1" applyBorder="1" applyAlignment="1">
      <alignment wrapText="1"/>
    </xf>
    <xf numFmtId="44" fontId="18" fillId="0" borderId="20" xfId="1" applyFont="1" applyBorder="1" applyProtection="1">
      <protection locked="0"/>
    </xf>
    <xf numFmtId="9" fontId="18" fillId="0" borderId="20" xfId="2" applyFont="1" applyBorder="1" applyProtection="1">
      <protection locked="0"/>
    </xf>
    <xf numFmtId="9" fontId="18" fillId="0" borderId="22" xfId="2" applyFont="1" applyBorder="1" applyProtection="1">
      <protection locked="0"/>
    </xf>
    <xf numFmtId="0" fontId="23" fillId="0" borderId="27" xfId="0" applyFont="1" applyBorder="1"/>
    <xf numFmtId="0" fontId="18" fillId="0" borderId="28" xfId="4" applyFont="1" applyBorder="1"/>
    <xf numFmtId="0" fontId="18" fillId="0" borderId="29" xfId="4" applyFont="1" applyBorder="1" applyAlignment="1">
      <alignment horizontal="center"/>
    </xf>
    <xf numFmtId="3" fontId="18" fillId="8" borderId="29" xfId="4" applyNumberFormat="1" applyFont="1" applyFill="1" applyBorder="1" applyProtection="1">
      <protection locked="0"/>
    </xf>
    <xf numFmtId="3" fontId="18" fillId="6" borderId="29" xfId="4" applyNumberFormat="1" applyFont="1" applyFill="1" applyBorder="1" applyProtection="1">
      <protection locked="0"/>
    </xf>
    <xf numFmtId="3" fontId="18" fillId="7" borderId="29" xfId="4" applyNumberFormat="1" applyFont="1" applyFill="1" applyBorder="1" applyProtection="1">
      <protection locked="0"/>
    </xf>
    <xf numFmtId="3" fontId="18" fillId="0" borderId="29" xfId="4" applyNumberFormat="1" applyFont="1" applyBorder="1" applyProtection="1">
      <protection locked="0"/>
    </xf>
    <xf numFmtId="3" fontId="23" fillId="0" borderId="29" xfId="4" applyNumberFormat="1" applyFont="1" applyBorder="1" applyProtection="1">
      <protection locked="0"/>
    </xf>
    <xf numFmtId="165" fontId="21" fillId="11" borderId="30" xfId="4" applyNumberFormat="1" applyFont="1" applyFill="1" applyBorder="1"/>
    <xf numFmtId="44" fontId="18" fillId="0" borderId="29" xfId="1" applyFont="1" applyBorder="1"/>
    <xf numFmtId="9" fontId="18" fillId="0" borderId="31" xfId="2" applyFont="1" applyBorder="1"/>
    <xf numFmtId="166" fontId="18" fillId="0" borderId="32" xfId="6" applyNumberFormat="1" applyFont="1" applyBorder="1"/>
    <xf numFmtId="3" fontId="25" fillId="0" borderId="0" xfId="4" applyNumberFormat="1" applyFont="1" applyAlignment="1">
      <alignment horizontal="center"/>
    </xf>
    <xf numFmtId="44" fontId="26" fillId="0" borderId="33" xfId="1" applyFont="1" applyFill="1" applyBorder="1" applyAlignment="1" applyProtection="1">
      <alignment horizontal="center"/>
      <protection hidden="1"/>
    </xf>
    <xf numFmtId="166" fontId="26" fillId="0" borderId="33" xfId="2" applyNumberFormat="1" applyFont="1" applyFill="1" applyBorder="1" applyAlignment="1" applyProtection="1">
      <alignment horizontal="center"/>
      <protection locked="0"/>
    </xf>
    <xf numFmtId="0" fontId="18" fillId="4" borderId="15" xfId="4" applyFont="1" applyFill="1" applyBorder="1"/>
    <xf numFmtId="0" fontId="12" fillId="0" borderId="16" xfId="4" applyFont="1" applyBorder="1" applyAlignment="1">
      <alignment horizontal="center"/>
    </xf>
    <xf numFmtId="3" fontId="12" fillId="5" borderId="16" xfId="4" applyNumberFormat="1" applyFont="1" applyFill="1" applyBorder="1" applyProtection="1">
      <protection locked="0"/>
    </xf>
    <xf numFmtId="3" fontId="12" fillId="6" borderId="24" xfId="4" applyNumberFormat="1" applyFont="1" applyFill="1" applyBorder="1" applyProtection="1">
      <protection locked="0"/>
    </xf>
    <xf numFmtId="0" fontId="18" fillId="4" borderId="19" xfId="4" applyFont="1" applyFill="1" applyBorder="1"/>
    <xf numFmtId="0" fontId="18" fillId="0" borderId="19" xfId="4" applyFont="1" applyBorder="1"/>
    <xf numFmtId="3" fontId="12" fillId="10" borderId="24" xfId="4" applyNumberFormat="1" applyFont="1" applyFill="1" applyBorder="1" applyProtection="1">
      <protection locked="0"/>
    </xf>
    <xf numFmtId="3" fontId="20" fillId="0" borderId="24" xfId="4" applyNumberFormat="1" applyFont="1" applyBorder="1" applyProtection="1">
      <protection locked="0"/>
    </xf>
    <xf numFmtId="3" fontId="12" fillId="0" borderId="24" xfId="4" applyNumberFormat="1" applyFont="1" applyBorder="1"/>
    <xf numFmtId="165" fontId="21" fillId="9" borderId="24" xfId="4" applyNumberFormat="1" applyFont="1" applyFill="1" applyBorder="1"/>
    <xf numFmtId="44" fontId="12" fillId="0" borderId="24" xfId="1" applyFont="1" applyBorder="1"/>
    <xf numFmtId="9" fontId="12" fillId="0" borderId="25" xfId="2" applyFont="1" applyBorder="1"/>
    <xf numFmtId="0" fontId="18" fillId="0" borderId="34" xfId="4" applyFont="1" applyBorder="1"/>
    <xf numFmtId="0" fontId="12" fillId="0" borderId="29" xfId="4" applyFont="1" applyBorder="1" applyAlignment="1">
      <alignment horizontal="center"/>
    </xf>
    <xf numFmtId="3" fontId="12" fillId="10" borderId="30" xfId="4" applyNumberFormat="1" applyFont="1" applyFill="1" applyBorder="1" applyProtection="1">
      <protection locked="0"/>
    </xf>
    <xf numFmtId="3" fontId="12" fillId="6" borderId="29" xfId="4" applyNumberFormat="1" applyFont="1" applyFill="1" applyBorder="1" applyProtection="1">
      <protection locked="0"/>
    </xf>
    <xf numFmtId="3" fontId="12" fillId="7" borderId="29" xfId="4" applyNumberFormat="1" applyFont="1" applyFill="1" applyBorder="1" applyProtection="1">
      <protection locked="0"/>
    </xf>
    <xf numFmtId="3" fontId="12" fillId="0" borderId="29" xfId="4" applyNumberFormat="1" applyFont="1" applyBorder="1" applyProtection="1">
      <protection locked="0"/>
    </xf>
    <xf numFmtId="3" fontId="20" fillId="0" borderId="29" xfId="4" applyNumberFormat="1" applyFont="1" applyBorder="1" applyProtection="1">
      <protection locked="0"/>
    </xf>
    <xf numFmtId="3" fontId="12" fillId="8" borderId="29" xfId="4" applyNumberFormat="1" applyFont="1" applyFill="1" applyBorder="1" applyProtection="1">
      <protection locked="0"/>
    </xf>
    <xf numFmtId="3" fontId="2" fillId="0" borderId="29" xfId="4" applyNumberFormat="1" applyFont="1" applyBorder="1"/>
    <xf numFmtId="3" fontId="12" fillId="0" borderId="29" xfId="4" applyNumberFormat="1" applyFont="1" applyBorder="1"/>
    <xf numFmtId="165" fontId="21" fillId="9" borderId="29" xfId="4" applyNumberFormat="1" applyFont="1" applyFill="1" applyBorder="1"/>
    <xf numFmtId="0" fontId="14" fillId="0" borderId="0" xfId="4" applyFont="1" applyAlignment="1">
      <alignment horizontal="left"/>
    </xf>
    <xf numFmtId="9" fontId="26" fillId="0" borderId="33" xfId="2" applyFont="1" applyFill="1" applyBorder="1" applyAlignment="1" applyProtection="1">
      <alignment horizontal="center"/>
      <protection hidden="1"/>
    </xf>
    <xf numFmtId="0" fontId="19" fillId="0" borderId="0" xfId="4" applyFont="1" applyProtection="1">
      <protection locked="0"/>
    </xf>
    <xf numFmtId="3" fontId="12" fillId="5" borderId="24" xfId="4" applyNumberFormat="1" applyFont="1" applyFill="1" applyBorder="1" applyProtection="1">
      <protection locked="0"/>
    </xf>
    <xf numFmtId="3" fontId="12" fillId="5" borderId="30" xfId="4" applyNumberFormat="1" applyFont="1" applyFill="1" applyBorder="1" applyProtection="1">
      <protection locked="0"/>
    </xf>
    <xf numFmtId="44" fontId="12" fillId="0" borderId="29" xfId="1" applyFont="1" applyBorder="1"/>
    <xf numFmtId="9" fontId="12" fillId="0" borderId="31" xfId="2" applyFont="1" applyBorder="1"/>
    <xf numFmtId="166" fontId="12" fillId="0" borderId="32" xfId="6" applyNumberFormat="1" applyFont="1" applyBorder="1"/>
    <xf numFmtId="0" fontId="18" fillId="4" borderId="35" xfId="4" applyFont="1" applyFill="1" applyBorder="1"/>
    <xf numFmtId="165" fontId="21" fillId="11" borderId="29" xfId="4" applyNumberFormat="1" applyFont="1" applyFill="1" applyBorder="1"/>
    <xf numFmtId="0" fontId="18" fillId="0" borderId="0" xfId="4" applyFont="1"/>
    <xf numFmtId="0" fontId="18" fillId="0" borderId="0" xfId="4" applyFont="1" applyAlignment="1">
      <alignment horizontal="center"/>
    </xf>
    <xf numFmtId="0" fontId="7" fillId="0" borderId="0" xfId="4" applyFont="1" applyProtection="1">
      <protection locked="0"/>
    </xf>
    <xf numFmtId="0" fontId="27" fillId="0" borderId="0" xfId="4" applyFont="1" applyProtection="1">
      <protection locked="0"/>
    </xf>
    <xf numFmtId="4" fontId="7" fillId="0" borderId="0" xfId="4" applyNumberFormat="1" applyFont="1" applyProtection="1">
      <protection locked="0"/>
    </xf>
    <xf numFmtId="4" fontId="7" fillId="0" borderId="0" xfId="7" applyNumberFormat="1" applyFont="1" applyProtection="1">
      <protection locked="0"/>
    </xf>
    <xf numFmtId="2" fontId="26" fillId="0" borderId="0" xfId="4" applyNumberFormat="1" applyFont="1" applyAlignment="1">
      <alignment horizontal="center"/>
    </xf>
    <xf numFmtId="44" fontId="26" fillId="0" borderId="33" xfId="1" applyFont="1" applyFill="1" applyBorder="1" applyAlignment="1">
      <alignment horizontal="center"/>
    </xf>
    <xf numFmtId="9" fontId="26" fillId="0" borderId="33" xfId="2" applyFont="1" applyFill="1" applyBorder="1" applyAlignment="1">
      <alignment horizontal="center"/>
    </xf>
    <xf numFmtId="166" fontId="26" fillId="0" borderId="33" xfId="2" applyNumberFormat="1" applyFont="1" applyFill="1" applyBorder="1" applyProtection="1">
      <protection locked="0"/>
    </xf>
    <xf numFmtId="0" fontId="28" fillId="0" borderId="0" xfId="3" applyFont="1"/>
    <xf numFmtId="0" fontId="1" fillId="0" borderId="0" xfId="3"/>
    <xf numFmtId="0" fontId="19" fillId="0" borderId="0" xfId="0" applyFont="1"/>
    <xf numFmtId="44" fontId="26" fillId="0" borderId="0" xfId="1" applyFont="1" applyAlignment="1">
      <alignment horizontal="center"/>
    </xf>
    <xf numFmtId="9" fontId="26" fillId="0" borderId="0" xfId="2" applyFont="1" applyAlignment="1">
      <alignment horizontal="center"/>
    </xf>
    <xf numFmtId="0" fontId="26" fillId="0" borderId="0" xfId="4" applyFont="1" applyProtection="1">
      <protection locked="0"/>
    </xf>
    <xf numFmtId="167" fontId="30" fillId="0" borderId="0" xfId="8" applyNumberFormat="1" applyFont="1" applyAlignment="1" applyProtection="1">
      <alignment horizontal="right"/>
      <protection locked="0"/>
    </xf>
    <xf numFmtId="0" fontId="3" fillId="0" borderId="0" xfId="9" applyFont="1" applyProtection="1">
      <protection locked="0"/>
    </xf>
    <xf numFmtId="0" fontId="32" fillId="0" borderId="0" xfId="9" applyFont="1" applyAlignment="1" applyProtection="1">
      <alignment horizontal="right"/>
      <protection locked="0"/>
    </xf>
    <xf numFmtId="168" fontId="32" fillId="0" borderId="0" xfId="9" applyNumberFormat="1" applyFont="1" applyAlignment="1" applyProtection="1">
      <alignment horizontal="right"/>
      <protection locked="0"/>
    </xf>
    <xf numFmtId="166" fontId="3" fillId="0" borderId="0" xfId="2" applyNumberFormat="1" applyFont="1" applyProtection="1">
      <protection locked="0"/>
    </xf>
    <xf numFmtId="44" fontId="19" fillId="0" borderId="0" xfId="1" applyFont="1"/>
    <xf numFmtId="9" fontId="19" fillId="0" borderId="0" xfId="2" applyFont="1"/>
    <xf numFmtId="169" fontId="19" fillId="0" borderId="0" xfId="0" applyNumberFormat="1" applyFont="1"/>
    <xf numFmtId="0" fontId="2" fillId="0" borderId="0" xfId="9" applyFont="1" applyAlignment="1" applyProtection="1">
      <alignment horizontal="right"/>
      <protection locked="0"/>
    </xf>
    <xf numFmtId="44" fontId="2" fillId="0" borderId="21" xfId="1" applyFont="1" applyBorder="1"/>
    <xf numFmtId="44" fontId="2" fillId="0" borderId="20" xfId="1" applyFont="1" applyBorder="1"/>
    <xf numFmtId="166" fontId="3" fillId="0" borderId="20" xfId="2" applyNumberFormat="1" applyFont="1" applyFill="1" applyBorder="1" applyProtection="1"/>
    <xf numFmtId="0" fontId="24" fillId="0" borderId="0" xfId="3" applyFont="1"/>
    <xf numFmtId="0" fontId="24" fillId="0" borderId="0" xfId="4" applyFont="1" applyProtection="1">
      <protection locked="0"/>
    </xf>
    <xf numFmtId="0" fontId="24" fillId="0" borderId="0" xfId="3" applyFont="1" applyAlignment="1">
      <alignment horizontal="center"/>
    </xf>
    <xf numFmtId="170" fontId="24" fillId="0" borderId="0" xfId="3" applyNumberFormat="1" applyFont="1" applyAlignment="1">
      <alignment horizontal="center"/>
    </xf>
    <xf numFmtId="167" fontId="3" fillId="0" borderId="0" xfId="8" applyNumberFormat="1" applyFont="1" applyAlignment="1" applyProtection="1">
      <alignment horizontal="right"/>
      <protection locked="0"/>
    </xf>
    <xf numFmtId="44" fontId="3" fillId="12" borderId="21" xfId="1" applyFont="1" applyFill="1" applyBorder="1"/>
    <xf numFmtId="44" fontId="3" fillId="12" borderId="20" xfId="1" applyFont="1" applyFill="1" applyBorder="1"/>
    <xf numFmtId="166" fontId="3" fillId="0" borderId="20" xfId="2" applyNumberFormat="1" applyFont="1" applyBorder="1" applyProtection="1"/>
    <xf numFmtId="0" fontId="19" fillId="0" borderId="0" xfId="4" applyFont="1"/>
    <xf numFmtId="166" fontId="2" fillId="0" borderId="0" xfId="2" applyNumberFormat="1" applyFont="1" applyProtection="1">
      <protection locked="0"/>
    </xf>
    <xf numFmtId="166" fontId="3" fillId="11" borderId="0" xfId="2" applyNumberFormat="1" applyFont="1" applyFill="1" applyProtection="1">
      <protection locked="0"/>
    </xf>
    <xf numFmtId="168" fontId="2" fillId="0" borderId="21" xfId="9" applyNumberFormat="1" applyFont="1" applyBorder="1"/>
    <xf numFmtId="168" fontId="2" fillId="0" borderId="20" xfId="9" applyNumberFormat="1" applyFont="1" applyBorder="1"/>
    <xf numFmtId="167" fontId="19" fillId="0" borderId="0" xfId="4" applyNumberFormat="1" applyFont="1" applyProtection="1">
      <protection locked="0"/>
    </xf>
    <xf numFmtId="167" fontId="3" fillId="0" borderId="0" xfId="9" applyNumberFormat="1" applyFont="1" applyAlignment="1" applyProtection="1">
      <alignment horizontal="right"/>
      <protection locked="0"/>
    </xf>
    <xf numFmtId="2" fontId="3" fillId="12" borderId="21" xfId="9" applyNumberFormat="1" applyFont="1" applyFill="1" applyBorder="1"/>
    <xf numFmtId="168" fontId="3" fillId="12" borderId="21" xfId="9" applyNumberFormat="1" applyFont="1" applyFill="1" applyBorder="1"/>
    <xf numFmtId="2" fontId="3" fillId="12" borderId="20" xfId="9" applyNumberFormat="1" applyFont="1" applyFill="1" applyBorder="1"/>
    <xf numFmtId="166" fontId="2" fillId="0" borderId="0" xfId="2" applyNumberFormat="1" applyFont="1" applyFill="1" applyProtection="1">
      <protection locked="0"/>
    </xf>
    <xf numFmtId="166" fontId="2" fillId="0" borderId="0" xfId="2" applyNumberFormat="1" applyFont="1" applyFill="1" applyAlignment="1" applyProtection="1">
      <alignment horizontal="right"/>
      <protection locked="0"/>
    </xf>
    <xf numFmtId="0" fontId="33" fillId="0" borderId="0" xfId="4" applyFont="1"/>
    <xf numFmtId="168" fontId="3" fillId="13" borderId="21" xfId="9" applyNumberFormat="1" applyFont="1" applyFill="1" applyBorder="1"/>
    <xf numFmtId="168" fontId="3" fillId="13" borderId="20" xfId="9" applyNumberFormat="1" applyFont="1" applyFill="1" applyBorder="1"/>
    <xf numFmtId="168" fontId="3" fillId="0" borderId="0" xfId="9" applyNumberFormat="1" applyFont="1"/>
    <xf numFmtId="167" fontId="3" fillId="0" borderId="0" xfId="9" applyNumberFormat="1" applyFont="1" applyAlignment="1" applyProtection="1">
      <alignment horizontal="left"/>
      <protection locked="0"/>
    </xf>
    <xf numFmtId="0" fontId="2" fillId="0" borderId="0" xfId="8" applyFont="1" applyProtection="1">
      <protection locked="0"/>
    </xf>
    <xf numFmtId="0" fontId="3" fillId="0" borderId="36" xfId="8" applyFont="1" applyBorder="1" applyProtection="1">
      <protection locked="0"/>
    </xf>
    <xf numFmtId="167" fontId="3" fillId="0" borderId="36" xfId="9" applyNumberFormat="1" applyFont="1" applyBorder="1" applyProtection="1">
      <protection locked="0"/>
    </xf>
    <xf numFmtId="168" fontId="3" fillId="0" borderId="36" xfId="9" applyNumberFormat="1" applyFont="1" applyBorder="1" applyProtection="1">
      <protection locked="0"/>
    </xf>
    <xf numFmtId="2" fontId="34" fillId="14" borderId="20" xfId="9" applyNumberFormat="1" applyFont="1" applyFill="1" applyBorder="1"/>
    <xf numFmtId="168" fontId="34" fillId="14" borderId="20" xfId="9" applyNumberFormat="1" applyFont="1" applyFill="1" applyBorder="1"/>
    <xf numFmtId="0" fontId="35" fillId="0" borderId="0" xfId="10" applyNumberFormat="1" applyFont="1" applyFill="1" applyBorder="1" applyAlignment="1" applyProtection="1">
      <alignment vertical="top"/>
      <protection locked="0"/>
    </xf>
    <xf numFmtId="44" fontId="1" fillId="0" borderId="0" xfId="1" applyFont="1"/>
    <xf numFmtId="9" fontId="1" fillId="0" borderId="0" xfId="2" applyFont="1"/>
    <xf numFmtId="9" fontId="0" fillId="0" borderId="0" xfId="2" applyFont="1"/>
    <xf numFmtId="14" fontId="2" fillId="0" borderId="1" xfId="5" applyNumberFormat="1" applyFont="1" applyBorder="1" applyAlignment="1">
      <alignment horizontal="center" wrapText="1"/>
    </xf>
    <xf numFmtId="14" fontId="2" fillId="0" borderId="2" xfId="5" applyNumberFormat="1" applyFont="1" applyBorder="1" applyAlignment="1">
      <alignment horizontal="center" wrapText="1"/>
    </xf>
    <xf numFmtId="0" fontId="6" fillId="0" borderId="1" xfId="4" applyFont="1" applyBorder="1" applyAlignment="1">
      <alignment horizontal="center"/>
    </xf>
    <xf numFmtId="0" fontId="6" fillId="0" borderId="2" xfId="4" applyFont="1" applyBorder="1" applyAlignment="1">
      <alignment horizontal="center"/>
    </xf>
    <xf numFmtId="14" fontId="6" fillId="0" borderId="1" xfId="4" applyNumberFormat="1" applyFont="1" applyBorder="1" applyAlignment="1">
      <alignment horizontal="center"/>
    </xf>
    <xf numFmtId="14" fontId="6" fillId="0" borderId="2" xfId="4" applyNumberFormat="1" applyFont="1" applyBorder="1" applyAlignment="1">
      <alignment horizontal="center"/>
    </xf>
    <xf numFmtId="3" fontId="6" fillId="0" borderId="1" xfId="4" applyNumberFormat="1" applyFont="1" applyBorder="1" applyAlignment="1">
      <alignment horizontal="center"/>
    </xf>
    <xf numFmtId="3" fontId="6" fillId="0" borderId="2" xfId="4" applyNumberFormat="1" applyFont="1" applyBorder="1" applyAlignment="1">
      <alignment horizontal="center"/>
    </xf>
    <xf numFmtId="14" fontId="2" fillId="0" borderId="1" xfId="5" applyNumberFormat="1" applyFont="1" applyBorder="1" applyAlignment="1">
      <alignment horizontal="center"/>
    </xf>
    <xf numFmtId="14" fontId="2" fillId="0" borderId="2" xfId="5" applyNumberFormat="1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7" fillId="0" borderId="2" xfId="4" applyFont="1" applyBorder="1" applyAlignment="1">
      <alignment horizontal="center"/>
    </xf>
    <xf numFmtId="3" fontId="12" fillId="15" borderId="24" xfId="4" applyNumberFormat="1" applyFont="1" applyFill="1" applyBorder="1" applyProtection="1">
      <protection locked="0"/>
    </xf>
    <xf numFmtId="6" fontId="19" fillId="0" borderId="0" xfId="1" applyNumberFormat="1" applyFont="1"/>
    <xf numFmtId="3" fontId="12" fillId="15" borderId="20" xfId="4" applyNumberFormat="1" applyFont="1" applyFill="1" applyBorder="1" applyProtection="1">
      <protection locked="0"/>
    </xf>
    <xf numFmtId="3" fontId="12" fillId="15" borderId="16" xfId="4" applyNumberFormat="1" applyFont="1" applyFill="1" applyBorder="1" applyProtection="1">
      <protection locked="0"/>
    </xf>
    <xf numFmtId="44" fontId="19" fillId="0" borderId="37" xfId="1" applyFont="1" applyBorder="1"/>
    <xf numFmtId="44" fontId="19" fillId="0" borderId="38" xfId="1" applyFont="1" applyBorder="1"/>
    <xf numFmtId="44" fontId="19" fillId="0" borderId="33" xfId="1" applyFont="1" applyBorder="1"/>
  </cellXfs>
  <cellStyles count="11">
    <cellStyle name="C 2" xfId="7" xr:uid="{E9EDA461-F3CF-6043-A310-2E7701E1FD77}"/>
    <cellStyle name="Currency" xfId="1" builtinId="4"/>
    <cellStyle name="Hyperlink" xfId="10" builtinId="8"/>
    <cellStyle name="N" xfId="4" xr:uid="{857522DD-C92E-C746-96C1-C8FE40ED7FEE}"/>
    <cellStyle name="Normal" xfId="0" builtinId="0"/>
    <cellStyle name="Normal 2 3" xfId="3" xr:uid="{0C1A2025-E93C-514C-90C7-EFD5AF1D5C8B}"/>
    <cellStyle name="Normal 3" xfId="5" xr:uid="{DBD94D67-1A45-2044-8A15-FE3B7DC972CF}"/>
    <cellStyle name="Normal_bdoakl04.xls" xfId="9" xr:uid="{C81BAB52-6D46-D54D-99BB-4008251507B6}"/>
    <cellStyle name="Normal_summary_sales080507.xls" xfId="8" xr:uid="{6F483018-2B3C-A946-9991-785EC0C79E42}"/>
    <cellStyle name="P" xfId="6" xr:uid="{7B5C4D09-CCFD-E949-84EE-3632B4622BE1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2041495</xdr:colOff>
      <xdr:row>4</xdr:row>
      <xdr:rowOff>153836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E859F-B985-4D49-9E26-2B850E6EF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41495" cy="966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F532-27F1-324A-86AA-1FEC062B1E90}">
  <sheetPr>
    <tabColor rgb="FFFFFF00"/>
  </sheetPr>
  <dimension ref="A1:W194"/>
  <sheetViews>
    <sheetView tabSelected="1" zoomScale="94" zoomScaleNormal="80" workbookViewId="0">
      <pane xSplit="2" ySplit="12" topLeftCell="C136" activePane="bottomRight" state="frozen"/>
      <selection pane="topRight" activeCell="C1" sqref="C1"/>
      <selection pane="bottomLeft" activeCell="A13" sqref="A13"/>
      <selection pane="bottomRight" activeCell="P169" sqref="P169:P176"/>
    </sheetView>
  </sheetViews>
  <sheetFormatPr baseColWidth="10" defaultColWidth="8.6640625" defaultRowHeight="15" x14ac:dyDescent="0.2"/>
  <cols>
    <col min="1" max="1" width="33.1640625" customWidth="1"/>
    <col min="2" max="2" width="9.83203125" bestFit="1" customWidth="1"/>
    <col min="3" max="3" width="11.33203125" bestFit="1" customWidth="1"/>
    <col min="4" max="4" width="10.83203125" customWidth="1"/>
    <col min="5" max="5" width="12.6640625" customWidth="1"/>
    <col min="6" max="6" width="11" customWidth="1"/>
    <col min="8" max="8" width="11.33203125" bestFit="1" customWidth="1"/>
    <col min="9" max="9" width="15" customWidth="1"/>
    <col min="10" max="10" width="14.33203125" customWidth="1"/>
    <col min="11" max="11" width="15.83203125" customWidth="1"/>
    <col min="12" max="12" width="10.33203125" bestFit="1" customWidth="1"/>
    <col min="13" max="13" width="9" bestFit="1" customWidth="1"/>
    <col min="14" max="14" width="9.33203125" bestFit="1" customWidth="1"/>
    <col min="15" max="15" width="10.83203125" customWidth="1"/>
    <col min="16" max="16" width="19.83203125" style="5" customWidth="1"/>
    <col min="17" max="17" width="9" style="257" customWidth="1"/>
    <col min="18" max="18" width="9" bestFit="1" customWidth="1"/>
    <col min="20" max="20" width="20.83203125" style="5" customWidth="1"/>
    <col min="21" max="21" width="9.5" bestFit="1" customWidth="1"/>
    <col min="23" max="23" width="13.1640625" customWidth="1"/>
  </cols>
  <sheetData>
    <row r="1" spans="1:21" ht="16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P1" s="3"/>
      <c r="Q1" s="4"/>
      <c r="R1" s="1"/>
      <c r="S1" s="1"/>
    </row>
    <row r="2" spans="1:21" ht="16" thickBot="1" x14ac:dyDescent="0.25">
      <c r="A2" s="6"/>
      <c r="B2" s="7"/>
      <c r="C2" s="1"/>
      <c r="D2" s="8" t="s">
        <v>0</v>
      </c>
      <c r="E2" s="260" t="s">
        <v>1</v>
      </c>
      <c r="F2" s="261"/>
      <c r="G2" s="9"/>
      <c r="H2" s="10"/>
      <c r="I2" s="10"/>
      <c r="J2" s="8" t="s">
        <v>2</v>
      </c>
      <c r="K2" s="260" t="s">
        <v>3</v>
      </c>
      <c r="L2" s="261"/>
      <c r="M2" s="11"/>
      <c r="P2" s="12"/>
      <c r="Q2" s="13"/>
      <c r="R2" s="1"/>
      <c r="S2" s="1"/>
    </row>
    <row r="3" spans="1:21" ht="16" thickBot="1" x14ac:dyDescent="0.25">
      <c r="A3" s="6"/>
      <c r="B3" s="7"/>
      <c r="C3" s="7"/>
      <c r="D3" s="14" t="s">
        <v>4</v>
      </c>
      <c r="E3" s="262" t="s">
        <v>5</v>
      </c>
      <c r="F3" s="263"/>
      <c r="G3" s="9"/>
      <c r="H3" s="10"/>
      <c r="I3" s="10"/>
      <c r="J3" s="14" t="s">
        <v>6</v>
      </c>
      <c r="K3" s="264">
        <v>4347</v>
      </c>
      <c r="L3" s="265"/>
      <c r="M3" s="1"/>
      <c r="P3" s="12"/>
      <c r="Q3" s="13"/>
      <c r="R3" s="1"/>
      <c r="S3" s="1"/>
    </row>
    <row r="4" spans="1:21" ht="16" thickBot="1" x14ac:dyDescent="0.25">
      <c r="A4" s="15" t="s">
        <v>7</v>
      </c>
      <c r="B4" s="1"/>
      <c r="C4" s="6"/>
      <c r="D4" s="14" t="s">
        <v>8</v>
      </c>
      <c r="E4" s="266" t="s">
        <v>9</v>
      </c>
      <c r="F4" s="267"/>
      <c r="G4" s="9"/>
      <c r="H4" s="10"/>
      <c r="I4" s="10"/>
      <c r="J4" s="14" t="s">
        <v>10</v>
      </c>
      <c r="K4" s="268">
        <f>SUM(K166/K3)</f>
        <v>3.8819875776397517</v>
      </c>
      <c r="L4" s="269"/>
      <c r="M4" s="1"/>
      <c r="P4" s="3"/>
      <c r="Q4" s="4"/>
      <c r="R4" s="1"/>
      <c r="S4" s="1"/>
    </row>
    <row r="5" spans="1:21" ht="16" thickBot="1" x14ac:dyDescent="0.25">
      <c r="A5" s="16"/>
      <c r="B5" s="1"/>
      <c r="C5" s="17"/>
      <c r="D5" s="14" t="s">
        <v>11</v>
      </c>
      <c r="E5" s="258">
        <v>45401</v>
      </c>
      <c r="F5" s="259"/>
      <c r="G5" s="9"/>
      <c r="H5" s="10"/>
      <c r="I5" s="10"/>
      <c r="J5" s="14" t="s">
        <v>12</v>
      </c>
      <c r="K5" s="260" t="s">
        <v>13</v>
      </c>
      <c r="L5" s="261"/>
      <c r="M5" s="18"/>
      <c r="P5" s="3"/>
      <c r="Q5" s="4"/>
      <c r="R5" s="1"/>
      <c r="S5" s="1"/>
    </row>
    <row r="6" spans="1:21" x14ac:dyDescent="0.2">
      <c r="A6" s="7" t="s">
        <v>14</v>
      </c>
      <c r="B6" s="19"/>
      <c r="C6" s="9"/>
      <c r="D6" s="9"/>
      <c r="E6" s="14"/>
      <c r="F6" s="9"/>
      <c r="G6" s="9"/>
      <c r="H6" s="9"/>
      <c r="I6" s="9"/>
      <c r="J6" s="9"/>
      <c r="K6" s="14"/>
      <c r="L6" s="20"/>
      <c r="M6" s="21"/>
      <c r="N6" s="22"/>
      <c r="O6" s="23"/>
      <c r="P6" s="24"/>
      <c r="Q6" s="25"/>
      <c r="R6" s="1"/>
      <c r="S6" s="1"/>
    </row>
    <row r="7" spans="1:21" ht="16" thickBot="1" x14ac:dyDescent="0.25">
      <c r="A7" s="26"/>
      <c r="B7" s="27" t="s">
        <v>15</v>
      </c>
      <c r="C7" s="26"/>
      <c r="D7" s="26"/>
      <c r="E7" s="26"/>
      <c r="F7" s="26"/>
      <c r="G7" s="26"/>
      <c r="H7" s="26"/>
      <c r="I7" s="26"/>
      <c r="J7" s="26"/>
      <c r="K7" s="28"/>
      <c r="L7" s="28"/>
      <c r="M7" s="26"/>
      <c r="N7" s="29"/>
      <c r="O7" s="29"/>
      <c r="P7" s="30"/>
      <c r="Q7" s="31"/>
      <c r="R7" s="32"/>
      <c r="S7" s="1"/>
    </row>
    <row r="8" spans="1:21" x14ac:dyDescent="0.2">
      <c r="A8" s="33"/>
      <c r="B8" s="34"/>
      <c r="C8" s="34" t="s">
        <v>16</v>
      </c>
      <c r="D8" s="34" t="s">
        <v>17</v>
      </c>
      <c r="E8" s="34" t="s">
        <v>18</v>
      </c>
      <c r="F8" s="34" t="s">
        <v>19</v>
      </c>
      <c r="G8" s="34" t="s">
        <v>20</v>
      </c>
      <c r="H8" s="34" t="s">
        <v>21</v>
      </c>
      <c r="I8" s="34" t="s">
        <v>22</v>
      </c>
      <c r="J8" s="34" t="s">
        <v>22</v>
      </c>
      <c r="K8" s="34" t="s">
        <v>23</v>
      </c>
      <c r="L8" s="34" t="s">
        <v>24</v>
      </c>
      <c r="M8" s="34" t="s">
        <v>25</v>
      </c>
      <c r="N8" s="35"/>
      <c r="O8" s="35" t="s">
        <v>26</v>
      </c>
      <c r="P8" s="36" t="s">
        <v>27</v>
      </c>
      <c r="Q8" s="37"/>
      <c r="R8" s="38"/>
      <c r="S8" s="1"/>
    </row>
    <row r="9" spans="1:21" x14ac:dyDescent="0.2">
      <c r="A9" s="39" t="s">
        <v>28</v>
      </c>
      <c r="B9" s="40" t="s">
        <v>29</v>
      </c>
      <c r="C9" s="41" t="s">
        <v>30</v>
      </c>
      <c r="D9" s="41" t="s">
        <v>31</v>
      </c>
      <c r="E9" s="40" t="s">
        <v>31</v>
      </c>
      <c r="F9" s="41" t="s">
        <v>31</v>
      </c>
      <c r="G9" s="41" t="s">
        <v>31</v>
      </c>
      <c r="H9" s="41" t="s">
        <v>31</v>
      </c>
      <c r="I9" s="41" t="s">
        <v>31</v>
      </c>
      <c r="J9" s="41" t="s">
        <v>31</v>
      </c>
      <c r="K9" s="40" t="s">
        <v>32</v>
      </c>
      <c r="L9" s="40" t="s">
        <v>33</v>
      </c>
      <c r="M9" s="40" t="s">
        <v>33</v>
      </c>
      <c r="N9" s="42" t="s">
        <v>34</v>
      </c>
      <c r="O9" s="42" t="s">
        <v>35</v>
      </c>
      <c r="P9" s="43" t="s">
        <v>36</v>
      </c>
      <c r="Q9" s="44" t="s">
        <v>37</v>
      </c>
      <c r="R9" s="45" t="s">
        <v>38</v>
      </c>
      <c r="S9" s="1"/>
    </row>
    <row r="10" spans="1:21" ht="16" thickBot="1" x14ac:dyDescent="0.25">
      <c r="A10" s="46"/>
      <c r="B10" s="47"/>
      <c r="C10" s="48"/>
      <c r="D10" s="48" t="s">
        <v>39</v>
      </c>
      <c r="E10" s="47"/>
      <c r="F10" s="48"/>
      <c r="G10" s="48"/>
      <c r="H10" s="48"/>
      <c r="I10" s="48">
        <v>1</v>
      </c>
      <c r="J10" s="48" t="s">
        <v>40</v>
      </c>
      <c r="K10" s="47"/>
      <c r="L10" s="47"/>
      <c r="M10" s="47"/>
      <c r="N10" s="49"/>
      <c r="O10" s="49"/>
      <c r="P10" s="50"/>
      <c r="Q10" s="51"/>
      <c r="R10" s="52"/>
      <c r="S10" s="1"/>
    </row>
    <row r="11" spans="1:21" x14ac:dyDescent="0.2">
      <c r="A11" s="53"/>
      <c r="B11" s="53"/>
      <c r="C11" s="54"/>
      <c r="D11" s="55"/>
      <c r="E11" s="53"/>
      <c r="F11" s="54"/>
      <c r="G11" s="54"/>
      <c r="H11" s="54"/>
      <c r="I11" s="54"/>
      <c r="J11" s="53"/>
      <c r="K11" s="53"/>
      <c r="L11" s="53"/>
      <c r="M11" s="54"/>
      <c r="N11" s="56"/>
      <c r="O11" s="56"/>
      <c r="P11" s="57"/>
      <c r="Q11" s="58"/>
      <c r="R11" s="59"/>
      <c r="S11" s="1"/>
    </row>
    <row r="12" spans="1:21" ht="16" thickBot="1" x14ac:dyDescent="0.25">
      <c r="A12" s="60" t="s">
        <v>41</v>
      </c>
      <c r="B12" s="53"/>
      <c r="C12" s="54"/>
      <c r="D12" s="61"/>
      <c r="E12" s="53"/>
      <c r="F12" s="54"/>
      <c r="G12" s="54"/>
      <c r="H12" s="54"/>
      <c r="I12" s="54"/>
      <c r="J12" s="53"/>
      <c r="K12" s="53"/>
      <c r="L12" s="53"/>
      <c r="M12" s="54"/>
      <c r="N12" s="56"/>
      <c r="O12" s="56"/>
      <c r="P12" s="57"/>
      <c r="Q12" s="58"/>
      <c r="R12" s="59"/>
      <c r="S12" s="1"/>
    </row>
    <row r="13" spans="1:21" ht="16" x14ac:dyDescent="0.2">
      <c r="A13" s="62" t="s">
        <v>42</v>
      </c>
      <c r="B13" s="63" t="s">
        <v>43</v>
      </c>
      <c r="C13" s="64">
        <v>34</v>
      </c>
      <c r="D13" s="65">
        <v>10</v>
      </c>
      <c r="E13" s="66"/>
      <c r="F13" s="67"/>
      <c r="G13" s="68">
        <f t="shared" ref="G13:G18" si="0">(C13+D13+F13)-E13</f>
        <v>44</v>
      </c>
      <c r="H13" s="69">
        <v>22</v>
      </c>
      <c r="I13" s="67"/>
      <c r="J13" s="70"/>
      <c r="K13" s="67"/>
      <c r="L13" s="67"/>
      <c r="M13" s="67"/>
      <c r="N13" s="71">
        <f t="shared" ref="N13:N16" si="1">G13-SUM(H13:M13)</f>
        <v>22</v>
      </c>
      <c r="O13" s="72">
        <v>60</v>
      </c>
      <c r="P13" s="73">
        <f t="shared" ref="P13:P18" si="2">N13*O13</f>
        <v>1320</v>
      </c>
      <c r="Q13" s="74">
        <f>N13/N19</f>
        <v>0.23157894736842105</v>
      </c>
      <c r="R13" s="75">
        <f t="shared" ref="R13:R18" si="3">P13/K$166</f>
        <v>7.8222222222222221E-2</v>
      </c>
      <c r="S13" s="1"/>
      <c r="U13" s="76"/>
    </row>
    <row r="14" spans="1:21" x14ac:dyDescent="0.2">
      <c r="A14" s="77"/>
      <c r="B14" s="78" t="s">
        <v>44</v>
      </c>
      <c r="C14" s="79">
        <v>39</v>
      </c>
      <c r="D14" s="80">
        <v>14</v>
      </c>
      <c r="E14" s="81"/>
      <c r="F14" s="272">
        <v>2</v>
      </c>
      <c r="G14" s="83">
        <f t="shared" si="0"/>
        <v>55</v>
      </c>
      <c r="H14" s="84">
        <v>27</v>
      </c>
      <c r="I14" s="82"/>
      <c r="J14" s="85"/>
      <c r="K14" s="82"/>
      <c r="L14" s="82"/>
      <c r="M14" s="82"/>
      <c r="N14" s="86">
        <f t="shared" si="1"/>
        <v>28</v>
      </c>
      <c r="O14" s="87">
        <v>60</v>
      </c>
      <c r="P14" s="88">
        <f t="shared" si="2"/>
        <v>1680</v>
      </c>
      <c r="Q14" s="89">
        <f>N14/N19</f>
        <v>0.29473684210526313</v>
      </c>
      <c r="R14" s="90">
        <f t="shared" si="3"/>
        <v>9.955555555555555E-2</v>
      </c>
      <c r="S14" s="1"/>
      <c r="U14" s="76"/>
    </row>
    <row r="15" spans="1:21" x14ac:dyDescent="0.2">
      <c r="A15" s="91"/>
      <c r="B15" s="78" t="s">
        <v>45</v>
      </c>
      <c r="C15" s="79">
        <v>43</v>
      </c>
      <c r="D15" s="80">
        <v>28</v>
      </c>
      <c r="E15" s="272">
        <v>8</v>
      </c>
      <c r="F15" s="82"/>
      <c r="G15" s="83">
        <f t="shared" si="0"/>
        <v>63</v>
      </c>
      <c r="H15" s="84">
        <v>40</v>
      </c>
      <c r="I15" s="82"/>
      <c r="J15" s="85"/>
      <c r="K15" s="82"/>
      <c r="L15" s="82"/>
      <c r="M15" s="82"/>
      <c r="N15" s="86">
        <f t="shared" si="1"/>
        <v>23</v>
      </c>
      <c r="O15" s="87">
        <v>60</v>
      </c>
      <c r="P15" s="88">
        <f t="shared" si="2"/>
        <v>1380</v>
      </c>
      <c r="Q15" s="89">
        <f>N15/N19</f>
        <v>0.24210526315789474</v>
      </c>
      <c r="R15" s="90">
        <f t="shared" si="3"/>
        <v>8.1777777777777783E-2</v>
      </c>
      <c r="S15" s="1"/>
      <c r="U15" s="76"/>
    </row>
    <row r="16" spans="1:21" x14ac:dyDescent="0.2">
      <c r="A16" s="92"/>
      <c r="B16" s="78" t="s">
        <v>46</v>
      </c>
      <c r="C16" s="79">
        <v>34</v>
      </c>
      <c r="D16" s="80">
        <v>30</v>
      </c>
      <c r="E16" s="81"/>
      <c r="F16" s="272">
        <v>9</v>
      </c>
      <c r="G16" s="83">
        <f t="shared" si="0"/>
        <v>73</v>
      </c>
      <c r="H16" s="84">
        <v>60</v>
      </c>
      <c r="I16" s="82"/>
      <c r="J16" s="85"/>
      <c r="K16" s="82"/>
      <c r="L16" s="82"/>
      <c r="M16" s="82"/>
      <c r="N16" s="93">
        <f t="shared" si="1"/>
        <v>13</v>
      </c>
      <c r="O16" s="87">
        <v>60</v>
      </c>
      <c r="P16" s="88">
        <f t="shared" si="2"/>
        <v>780</v>
      </c>
      <c r="Q16" s="89">
        <f>N16/N19</f>
        <v>0.1368421052631579</v>
      </c>
      <c r="R16" s="90">
        <f t="shared" si="3"/>
        <v>4.622222222222222E-2</v>
      </c>
      <c r="S16" s="1"/>
      <c r="U16" s="76"/>
    </row>
    <row r="17" spans="1:21" x14ac:dyDescent="0.2">
      <c r="A17" s="92"/>
      <c r="B17" s="78" t="s">
        <v>47</v>
      </c>
      <c r="C17" s="79">
        <v>21</v>
      </c>
      <c r="D17" s="80">
        <v>20</v>
      </c>
      <c r="E17" s="272">
        <v>3</v>
      </c>
      <c r="F17" s="82"/>
      <c r="G17" s="83">
        <f t="shared" si="0"/>
        <v>38</v>
      </c>
      <c r="H17" s="84">
        <v>29</v>
      </c>
      <c r="I17" s="82"/>
      <c r="J17" s="85"/>
      <c r="K17" s="82"/>
      <c r="L17" s="82"/>
      <c r="M17" s="82"/>
      <c r="N17" s="93">
        <f t="shared" ref="N17:N18" si="4">G17-SUM(H17:M17)</f>
        <v>9</v>
      </c>
      <c r="O17" s="87">
        <v>60</v>
      </c>
      <c r="P17" s="88">
        <f t="shared" si="2"/>
        <v>540</v>
      </c>
      <c r="Q17" s="89">
        <f>N17/N19</f>
        <v>9.4736842105263161E-2</v>
      </c>
      <c r="R17" s="90">
        <f t="shared" si="3"/>
        <v>3.2000000000000001E-2</v>
      </c>
      <c r="S17" s="1"/>
      <c r="U17" s="76"/>
    </row>
    <row r="18" spans="1:21" x14ac:dyDescent="0.2">
      <c r="A18" s="92"/>
      <c r="B18" s="78" t="s">
        <v>48</v>
      </c>
      <c r="C18" s="79">
        <v>0</v>
      </c>
      <c r="D18" s="80">
        <v>0</v>
      </c>
      <c r="E18" s="81"/>
      <c r="F18" s="82"/>
      <c r="G18" s="83">
        <f t="shared" si="0"/>
        <v>0</v>
      </c>
      <c r="H18" s="84"/>
      <c r="I18" s="82"/>
      <c r="J18" s="85"/>
      <c r="K18" s="82"/>
      <c r="L18" s="82"/>
      <c r="M18" s="82"/>
      <c r="N18" s="93">
        <f t="shared" si="4"/>
        <v>0</v>
      </c>
      <c r="O18" s="87">
        <v>60</v>
      </c>
      <c r="P18" s="88">
        <f t="shared" si="2"/>
        <v>0</v>
      </c>
      <c r="Q18" s="89">
        <f>N18/N19</f>
        <v>0</v>
      </c>
      <c r="R18" s="90">
        <f t="shared" si="3"/>
        <v>0</v>
      </c>
      <c r="S18" s="1"/>
      <c r="U18" s="76"/>
    </row>
    <row r="19" spans="1:21" x14ac:dyDescent="0.2">
      <c r="A19" s="94" t="s">
        <v>49</v>
      </c>
      <c r="B19" s="95"/>
      <c r="C19" s="96">
        <f>SUM(C13:C18)</f>
        <v>171</v>
      </c>
      <c r="D19" s="97">
        <f>SUM(D13:D18)</f>
        <v>102</v>
      </c>
      <c r="E19" s="98">
        <f t="shared" ref="E19:J19" si="5">SUM(E13:E17)</f>
        <v>11</v>
      </c>
      <c r="F19" s="99">
        <f t="shared" si="5"/>
        <v>11</v>
      </c>
      <c r="G19" s="99">
        <f>SUM(G13:G18)</f>
        <v>273</v>
      </c>
      <c r="H19" s="100">
        <f>SUM(H13:H18)</f>
        <v>178</v>
      </c>
      <c r="I19" s="99">
        <f t="shared" si="5"/>
        <v>0</v>
      </c>
      <c r="J19" s="99">
        <f t="shared" si="5"/>
        <v>0</v>
      </c>
      <c r="K19" s="99">
        <v>0</v>
      </c>
      <c r="L19" s="99">
        <f>SUM(L13:L17)</f>
        <v>0</v>
      </c>
      <c r="M19" s="99">
        <f>SUM(M13:M17)</f>
        <v>0</v>
      </c>
      <c r="N19" s="99">
        <f>SUM(N13:N18)</f>
        <v>95</v>
      </c>
      <c r="O19" s="87">
        <v>60</v>
      </c>
      <c r="P19" s="101">
        <f>SUM(P13:P18)</f>
        <v>5700</v>
      </c>
      <c r="Q19" s="102">
        <f t="shared" ref="Q19:R19" si="6">SUM(Q13:Q18)</f>
        <v>0.99999999999999989</v>
      </c>
      <c r="R19" s="103">
        <f t="shared" si="6"/>
        <v>0.33777777777777773</v>
      </c>
      <c r="S19" s="1"/>
    </row>
    <row r="20" spans="1:21" ht="16" x14ac:dyDescent="0.2">
      <c r="A20" s="104" t="s">
        <v>50</v>
      </c>
      <c r="B20" s="105" t="s">
        <v>43</v>
      </c>
      <c r="C20" s="106">
        <v>17</v>
      </c>
      <c r="D20" s="80">
        <v>9</v>
      </c>
      <c r="E20" s="81"/>
      <c r="F20" s="82"/>
      <c r="G20" s="83">
        <f t="shared" ref="G20:G25" si="7">(C20+D20+F20)-E20</f>
        <v>26</v>
      </c>
      <c r="H20" s="84">
        <v>16</v>
      </c>
      <c r="I20" s="82"/>
      <c r="J20" s="85"/>
      <c r="K20" s="82"/>
      <c r="L20" s="82"/>
      <c r="M20" s="82"/>
      <c r="N20" s="86">
        <f t="shared" ref="N20:N25" si="8">G20-SUM(H20:M20)</f>
        <v>10</v>
      </c>
      <c r="O20" s="87">
        <v>80</v>
      </c>
      <c r="P20" s="88">
        <f t="shared" ref="P20:P25" si="9">N20*O20</f>
        <v>800</v>
      </c>
      <c r="Q20" s="89">
        <f>N20/N26</f>
        <v>0.41666666666666669</v>
      </c>
      <c r="R20" s="90">
        <f t="shared" ref="R20:R25" si="10">P20/K$166</f>
        <v>4.7407407407407405E-2</v>
      </c>
      <c r="S20" s="1"/>
    </row>
    <row r="21" spans="1:21" x14ac:dyDescent="0.2">
      <c r="A21" s="107"/>
      <c r="B21" s="105" t="s">
        <v>44</v>
      </c>
      <c r="C21" s="106">
        <v>20</v>
      </c>
      <c r="D21" s="80">
        <v>18</v>
      </c>
      <c r="E21" s="81"/>
      <c r="F21" s="82"/>
      <c r="G21" s="83">
        <f t="shared" si="7"/>
        <v>38</v>
      </c>
      <c r="H21" s="84">
        <v>29</v>
      </c>
      <c r="I21" s="82"/>
      <c r="J21" s="85"/>
      <c r="K21" s="82"/>
      <c r="L21" s="82"/>
      <c r="M21" s="82"/>
      <c r="N21" s="86">
        <f t="shared" si="8"/>
        <v>9</v>
      </c>
      <c r="O21" s="87">
        <v>80</v>
      </c>
      <c r="P21" s="88">
        <f t="shared" si="9"/>
        <v>720</v>
      </c>
      <c r="Q21" s="89">
        <f>N21/N26</f>
        <v>0.375</v>
      </c>
      <c r="R21" s="90">
        <f t="shared" si="10"/>
        <v>4.2666666666666665E-2</v>
      </c>
      <c r="S21" s="1"/>
    </row>
    <row r="22" spans="1:21" x14ac:dyDescent="0.2">
      <c r="A22" s="92"/>
      <c r="B22" s="105" t="s">
        <v>45</v>
      </c>
      <c r="C22" s="106">
        <v>21</v>
      </c>
      <c r="D22" s="80">
        <v>15</v>
      </c>
      <c r="E22" s="81"/>
      <c r="F22" s="82"/>
      <c r="G22" s="83">
        <f t="shared" si="7"/>
        <v>36</v>
      </c>
      <c r="H22" s="84">
        <v>36</v>
      </c>
      <c r="I22" s="82"/>
      <c r="J22" s="85"/>
      <c r="K22" s="82"/>
      <c r="L22" s="82"/>
      <c r="M22" s="82"/>
      <c r="N22" s="86">
        <f t="shared" si="8"/>
        <v>0</v>
      </c>
      <c r="O22" s="87">
        <v>80</v>
      </c>
      <c r="P22" s="88">
        <f t="shared" si="9"/>
        <v>0</v>
      </c>
      <c r="Q22" s="89">
        <f>N22/N26</f>
        <v>0</v>
      </c>
      <c r="R22" s="90">
        <f t="shared" si="10"/>
        <v>0</v>
      </c>
      <c r="S22" s="1"/>
    </row>
    <row r="23" spans="1:21" x14ac:dyDescent="0.2">
      <c r="A23" s="92"/>
      <c r="B23" s="78" t="s">
        <v>46</v>
      </c>
      <c r="C23" s="106">
        <v>17</v>
      </c>
      <c r="D23" s="80">
        <v>23</v>
      </c>
      <c r="E23" s="81"/>
      <c r="F23" s="82"/>
      <c r="G23" s="83">
        <f t="shared" si="7"/>
        <v>40</v>
      </c>
      <c r="H23" s="84">
        <v>38</v>
      </c>
      <c r="I23" s="82"/>
      <c r="J23" s="85"/>
      <c r="K23" s="82"/>
      <c r="L23" s="82"/>
      <c r="M23" s="82"/>
      <c r="N23" s="86">
        <f t="shared" si="8"/>
        <v>2</v>
      </c>
      <c r="O23" s="87">
        <v>80</v>
      </c>
      <c r="P23" s="88">
        <f t="shared" si="9"/>
        <v>160</v>
      </c>
      <c r="Q23" s="89">
        <f>N23/N26</f>
        <v>8.3333333333333329E-2</v>
      </c>
      <c r="R23" s="90">
        <f t="shared" si="10"/>
        <v>9.4814814814814814E-3</v>
      </c>
      <c r="S23" s="1"/>
    </row>
    <row r="24" spans="1:21" x14ac:dyDescent="0.2">
      <c r="A24" s="92"/>
      <c r="B24" s="78" t="s">
        <v>47</v>
      </c>
      <c r="C24" s="106">
        <v>10</v>
      </c>
      <c r="D24" s="80">
        <v>15</v>
      </c>
      <c r="E24" s="81"/>
      <c r="F24" s="82"/>
      <c r="G24" s="83">
        <f t="shared" si="7"/>
        <v>25</v>
      </c>
      <c r="H24" s="84">
        <v>22</v>
      </c>
      <c r="I24" s="82"/>
      <c r="J24" s="85"/>
      <c r="K24" s="82"/>
      <c r="L24" s="82"/>
      <c r="M24" s="82"/>
      <c r="N24" s="86">
        <f t="shared" si="8"/>
        <v>3</v>
      </c>
      <c r="O24" s="87">
        <v>80</v>
      </c>
      <c r="P24" s="88">
        <f t="shared" si="9"/>
        <v>240</v>
      </c>
      <c r="Q24" s="89">
        <f>N24/N26</f>
        <v>0.125</v>
      </c>
      <c r="R24" s="90">
        <f t="shared" si="10"/>
        <v>1.4222222222222223E-2</v>
      </c>
      <c r="S24" s="1"/>
    </row>
    <row r="25" spans="1:21" x14ac:dyDescent="0.2">
      <c r="A25" s="92"/>
      <c r="B25" s="78" t="s">
        <v>48</v>
      </c>
      <c r="C25" s="106">
        <v>0</v>
      </c>
      <c r="D25" s="80">
        <v>0</v>
      </c>
      <c r="E25" s="81"/>
      <c r="F25" s="82"/>
      <c r="G25" s="83">
        <f t="shared" si="7"/>
        <v>0</v>
      </c>
      <c r="H25" s="84"/>
      <c r="I25" s="82"/>
      <c r="J25" s="85"/>
      <c r="K25" s="82"/>
      <c r="L25" s="82"/>
      <c r="M25" s="82"/>
      <c r="N25" s="86">
        <f t="shared" si="8"/>
        <v>0</v>
      </c>
      <c r="O25" s="87">
        <v>80</v>
      </c>
      <c r="P25" s="88">
        <f t="shared" si="9"/>
        <v>0</v>
      </c>
      <c r="Q25" s="89">
        <f>N25/N26</f>
        <v>0</v>
      </c>
      <c r="R25" s="90">
        <f t="shared" si="10"/>
        <v>0</v>
      </c>
      <c r="S25" s="1"/>
    </row>
    <row r="26" spans="1:21" x14ac:dyDescent="0.2">
      <c r="A26" s="94" t="s">
        <v>49</v>
      </c>
      <c r="B26" s="108"/>
      <c r="C26" s="96">
        <f t="shared" ref="C26:H26" si="11">SUM(C20:C25)</f>
        <v>85</v>
      </c>
      <c r="D26" s="97">
        <f t="shared" si="11"/>
        <v>80</v>
      </c>
      <c r="E26" s="98">
        <f t="shared" si="11"/>
        <v>0</v>
      </c>
      <c r="F26" s="99">
        <f t="shared" si="11"/>
        <v>0</v>
      </c>
      <c r="G26" s="109">
        <f t="shared" si="11"/>
        <v>165</v>
      </c>
      <c r="H26" s="100">
        <f t="shared" si="11"/>
        <v>141</v>
      </c>
      <c r="I26" s="99">
        <f t="shared" ref="I26:L26" si="12">SUM(I20:I25)</f>
        <v>0</v>
      </c>
      <c r="J26" s="99">
        <f t="shared" si="12"/>
        <v>0</v>
      </c>
      <c r="K26" s="99">
        <f t="shared" si="12"/>
        <v>0</v>
      </c>
      <c r="L26" s="99">
        <f t="shared" si="12"/>
        <v>0</v>
      </c>
      <c r="M26" s="99">
        <f>SUM(M20:M25)</f>
        <v>0</v>
      </c>
      <c r="N26" s="99">
        <f>SUM(N20:N25)</f>
        <v>24</v>
      </c>
      <c r="O26" s="87">
        <v>80</v>
      </c>
      <c r="P26" s="101">
        <f>SUM(P20:P25)</f>
        <v>1920</v>
      </c>
      <c r="Q26" s="110">
        <f>SUM(Q20:Q25)</f>
        <v>1</v>
      </c>
      <c r="R26" s="111">
        <f>SUM(R20:R25)</f>
        <v>0.11377777777777777</v>
      </c>
      <c r="S26" s="1"/>
    </row>
    <row r="27" spans="1:21" ht="16" hidden="1" x14ac:dyDescent="0.2">
      <c r="A27" s="104" t="s">
        <v>51</v>
      </c>
      <c r="B27" s="105" t="s">
        <v>43</v>
      </c>
      <c r="C27" s="112"/>
      <c r="D27" s="80"/>
      <c r="E27" s="81"/>
      <c r="F27" s="83"/>
      <c r="G27" s="83">
        <f t="shared" ref="G27:G32" si="13">(C27+D27+F27)-E27</f>
        <v>0</v>
      </c>
      <c r="H27" s="84"/>
      <c r="I27" s="82"/>
      <c r="J27" s="85"/>
      <c r="K27" s="82"/>
      <c r="L27" s="82"/>
      <c r="M27" s="82"/>
      <c r="N27" s="86">
        <f t="shared" ref="N27:N32" si="14">G27-SUM(H27:M27)</f>
        <v>0</v>
      </c>
      <c r="O27" s="87">
        <v>0</v>
      </c>
      <c r="P27" s="88">
        <f t="shared" ref="P27:P32" si="15">N27*O27</f>
        <v>0</v>
      </c>
      <c r="Q27" s="89" t="e">
        <f>N27/N33</f>
        <v>#DIV/0!</v>
      </c>
      <c r="R27" s="90">
        <f t="shared" ref="R27:R32" si="16">P27/K$166</f>
        <v>0</v>
      </c>
      <c r="S27" s="1"/>
      <c r="U27" s="76"/>
    </row>
    <row r="28" spans="1:21" hidden="1" x14ac:dyDescent="0.2">
      <c r="A28" s="91"/>
      <c r="B28" s="105" t="s">
        <v>44</v>
      </c>
      <c r="C28" s="112"/>
      <c r="D28" s="80"/>
      <c r="E28" s="81"/>
      <c r="F28" s="83"/>
      <c r="G28" s="83">
        <f t="shared" si="13"/>
        <v>0</v>
      </c>
      <c r="H28" s="84"/>
      <c r="I28" s="82"/>
      <c r="J28" s="85"/>
      <c r="K28" s="82"/>
      <c r="L28" s="82"/>
      <c r="M28" s="82"/>
      <c r="N28" s="86">
        <f t="shared" si="14"/>
        <v>0</v>
      </c>
      <c r="O28" s="87">
        <v>0</v>
      </c>
      <c r="P28" s="88">
        <f t="shared" si="15"/>
        <v>0</v>
      </c>
      <c r="Q28" s="89" t="e">
        <f>N28/N33</f>
        <v>#DIV/0!</v>
      </c>
      <c r="R28" s="90">
        <f t="shared" si="16"/>
        <v>0</v>
      </c>
      <c r="S28" s="1"/>
      <c r="U28" s="76"/>
    </row>
    <row r="29" spans="1:21" hidden="1" x14ac:dyDescent="0.2">
      <c r="A29" s="113"/>
      <c r="B29" s="105" t="s">
        <v>45</v>
      </c>
      <c r="C29" s="112"/>
      <c r="D29" s="80"/>
      <c r="E29" s="81"/>
      <c r="F29" s="83"/>
      <c r="G29" s="83">
        <f t="shared" si="13"/>
        <v>0</v>
      </c>
      <c r="H29" s="84"/>
      <c r="I29" s="82"/>
      <c r="J29" s="85"/>
      <c r="K29" s="82"/>
      <c r="L29" s="82"/>
      <c r="M29" s="82"/>
      <c r="N29" s="86">
        <f t="shared" si="14"/>
        <v>0</v>
      </c>
      <c r="O29" s="87">
        <v>0</v>
      </c>
      <c r="P29" s="88">
        <f t="shared" si="15"/>
        <v>0</v>
      </c>
      <c r="Q29" s="89" t="e">
        <f>N29/N33</f>
        <v>#DIV/0!</v>
      </c>
      <c r="R29" s="90">
        <f t="shared" si="16"/>
        <v>0</v>
      </c>
      <c r="S29" s="1"/>
      <c r="U29" s="76"/>
    </row>
    <row r="30" spans="1:21" hidden="1" x14ac:dyDescent="0.2">
      <c r="A30" s="92"/>
      <c r="B30" s="105" t="s">
        <v>46</v>
      </c>
      <c r="C30" s="112"/>
      <c r="D30" s="80"/>
      <c r="E30" s="81"/>
      <c r="F30" s="83"/>
      <c r="G30" s="83">
        <f t="shared" si="13"/>
        <v>0</v>
      </c>
      <c r="H30" s="84"/>
      <c r="I30" s="82"/>
      <c r="J30" s="85"/>
      <c r="K30" s="82"/>
      <c r="L30" s="82"/>
      <c r="M30" s="82"/>
      <c r="N30" s="93">
        <f t="shared" si="14"/>
        <v>0</v>
      </c>
      <c r="O30" s="87">
        <v>0</v>
      </c>
      <c r="P30" s="114">
        <f t="shared" si="15"/>
        <v>0</v>
      </c>
      <c r="Q30" s="115" t="e">
        <f>N30/N33</f>
        <v>#DIV/0!</v>
      </c>
      <c r="R30" s="90">
        <f t="shared" si="16"/>
        <v>0</v>
      </c>
      <c r="S30" s="1"/>
      <c r="U30" s="76"/>
    </row>
    <row r="31" spans="1:21" hidden="1" x14ac:dyDescent="0.2">
      <c r="A31" s="92"/>
      <c r="B31" s="105" t="s">
        <v>47</v>
      </c>
      <c r="C31" s="112"/>
      <c r="D31" s="80"/>
      <c r="E31" s="81"/>
      <c r="F31" s="83"/>
      <c r="G31" s="83">
        <f t="shared" si="13"/>
        <v>0</v>
      </c>
      <c r="H31" s="84"/>
      <c r="I31" s="82"/>
      <c r="J31" s="85"/>
      <c r="K31" s="82"/>
      <c r="L31" s="82"/>
      <c r="M31" s="82"/>
      <c r="N31" s="93">
        <f t="shared" si="14"/>
        <v>0</v>
      </c>
      <c r="O31" s="87">
        <v>0</v>
      </c>
      <c r="P31" s="114">
        <f t="shared" si="15"/>
        <v>0</v>
      </c>
      <c r="Q31" s="115" t="e">
        <f>N31/N33</f>
        <v>#DIV/0!</v>
      </c>
      <c r="R31" s="90">
        <f t="shared" si="16"/>
        <v>0</v>
      </c>
      <c r="S31" s="1"/>
      <c r="U31" s="76"/>
    </row>
    <row r="32" spans="1:21" hidden="1" x14ac:dyDescent="0.2">
      <c r="A32" s="92"/>
      <c r="B32" s="105" t="s">
        <v>48</v>
      </c>
      <c r="C32" s="112"/>
      <c r="D32" s="80"/>
      <c r="E32" s="81"/>
      <c r="F32" s="83"/>
      <c r="G32" s="83">
        <f t="shared" si="13"/>
        <v>0</v>
      </c>
      <c r="H32" s="84"/>
      <c r="I32" s="82"/>
      <c r="J32" s="85"/>
      <c r="K32" s="82"/>
      <c r="L32" s="82"/>
      <c r="M32" s="82"/>
      <c r="N32" s="93">
        <f t="shared" si="14"/>
        <v>0</v>
      </c>
      <c r="O32" s="87">
        <v>0</v>
      </c>
      <c r="P32" s="114">
        <f t="shared" si="15"/>
        <v>0</v>
      </c>
      <c r="Q32" s="115" t="e">
        <f>N32/N33</f>
        <v>#DIV/0!</v>
      </c>
      <c r="R32" s="90">
        <f t="shared" si="16"/>
        <v>0</v>
      </c>
      <c r="S32" s="1"/>
      <c r="U32" s="76"/>
    </row>
    <row r="33" spans="1:21" hidden="1" x14ac:dyDescent="0.2">
      <c r="A33" s="94" t="s">
        <v>49</v>
      </c>
      <c r="B33" s="95"/>
      <c r="C33" s="116">
        <f>SUM(C27:C32)</f>
        <v>0</v>
      </c>
      <c r="D33" s="97">
        <f>SUM(D27:D32)</f>
        <v>0</v>
      </c>
      <c r="E33" s="98">
        <f t="shared" ref="E33:M33" si="17">SUM(E27:E31)</f>
        <v>0</v>
      </c>
      <c r="F33" s="109">
        <f t="shared" si="17"/>
        <v>0</v>
      </c>
      <c r="G33" s="109">
        <f>SUM(G27:G32)</f>
        <v>0</v>
      </c>
      <c r="H33" s="100">
        <f t="shared" si="17"/>
        <v>0</v>
      </c>
      <c r="I33" s="99">
        <f t="shared" si="17"/>
        <v>0</v>
      </c>
      <c r="J33" s="99">
        <f t="shared" si="17"/>
        <v>0</v>
      </c>
      <c r="K33" s="99">
        <f t="shared" si="17"/>
        <v>0</v>
      </c>
      <c r="L33" s="99">
        <f t="shared" si="17"/>
        <v>0</v>
      </c>
      <c r="M33" s="99">
        <f t="shared" si="17"/>
        <v>0</v>
      </c>
      <c r="N33" s="117">
        <f>SUM(N27:N32)</f>
        <v>0</v>
      </c>
      <c r="O33" s="87">
        <v>0</v>
      </c>
      <c r="P33" s="118">
        <f>SUM(P27:P31)</f>
        <v>0</v>
      </c>
      <c r="Q33" s="119" t="e">
        <f>SUM(Q27:Q31)</f>
        <v>#DIV/0!</v>
      </c>
      <c r="R33" s="111">
        <f>SUM(R27:R31)</f>
        <v>0</v>
      </c>
      <c r="S33" s="1"/>
    </row>
    <row r="34" spans="1:21" ht="16" hidden="1" x14ac:dyDescent="0.2">
      <c r="A34" s="104" t="s">
        <v>51</v>
      </c>
      <c r="B34" s="105" t="s">
        <v>43</v>
      </c>
      <c r="C34" s="112"/>
      <c r="D34" s="80"/>
      <c r="E34" s="81"/>
      <c r="F34" s="82"/>
      <c r="G34" s="83">
        <f t="shared" ref="G34:G39" si="18">(C34+D34+F34)-E34</f>
        <v>0</v>
      </c>
      <c r="H34" s="84"/>
      <c r="I34" s="82"/>
      <c r="J34" s="85"/>
      <c r="K34" s="82"/>
      <c r="L34" s="82"/>
      <c r="M34" s="82"/>
      <c r="N34" s="93">
        <f t="shared" ref="N34:N39" si="19">G34-SUM(H34:M34)</f>
        <v>0</v>
      </c>
      <c r="O34" s="87">
        <v>0</v>
      </c>
      <c r="P34" s="114">
        <f t="shared" ref="P34:P39" si="20">N34*O34</f>
        <v>0</v>
      </c>
      <c r="Q34" s="115" t="e">
        <f>N34/N40</f>
        <v>#DIV/0!</v>
      </c>
      <c r="R34" s="90">
        <f t="shared" ref="R34:R39" si="21">P34/K$166</f>
        <v>0</v>
      </c>
      <c r="S34" s="1"/>
    </row>
    <row r="35" spans="1:21" hidden="1" x14ac:dyDescent="0.2">
      <c r="A35" s="91"/>
      <c r="B35" s="105" t="s">
        <v>44</v>
      </c>
      <c r="C35" s="112"/>
      <c r="D35" s="80"/>
      <c r="E35" s="81"/>
      <c r="F35" s="82"/>
      <c r="G35" s="83">
        <f t="shared" si="18"/>
        <v>0</v>
      </c>
      <c r="H35" s="84"/>
      <c r="I35" s="82"/>
      <c r="J35" s="85"/>
      <c r="K35" s="82"/>
      <c r="L35" s="82"/>
      <c r="M35" s="82"/>
      <c r="N35" s="93">
        <f t="shared" si="19"/>
        <v>0</v>
      </c>
      <c r="O35" s="87">
        <v>0</v>
      </c>
      <c r="P35" s="114">
        <f t="shared" si="20"/>
        <v>0</v>
      </c>
      <c r="Q35" s="115" t="e">
        <f>N35/N40</f>
        <v>#DIV/0!</v>
      </c>
      <c r="R35" s="90">
        <f t="shared" si="21"/>
        <v>0</v>
      </c>
      <c r="S35" s="1"/>
    </row>
    <row r="36" spans="1:21" hidden="1" x14ac:dyDescent="0.2">
      <c r="A36" s="120"/>
      <c r="B36" s="105" t="s">
        <v>45</v>
      </c>
      <c r="C36" s="112"/>
      <c r="D36" s="80"/>
      <c r="E36" s="81"/>
      <c r="F36" s="82"/>
      <c r="G36" s="83">
        <f t="shared" si="18"/>
        <v>0</v>
      </c>
      <c r="H36" s="84"/>
      <c r="I36" s="82"/>
      <c r="J36" s="85"/>
      <c r="K36" s="82"/>
      <c r="L36" s="82"/>
      <c r="M36" s="82"/>
      <c r="N36" s="93">
        <f t="shared" si="19"/>
        <v>0</v>
      </c>
      <c r="O36" s="87">
        <v>0</v>
      </c>
      <c r="P36" s="114">
        <f t="shared" si="20"/>
        <v>0</v>
      </c>
      <c r="Q36" s="115" t="e">
        <f>N36/N40</f>
        <v>#DIV/0!</v>
      </c>
      <c r="R36" s="90">
        <f t="shared" si="21"/>
        <v>0</v>
      </c>
      <c r="S36" s="1"/>
    </row>
    <row r="37" spans="1:21" hidden="1" x14ac:dyDescent="0.2">
      <c r="A37" s="92"/>
      <c r="B37" s="105" t="s">
        <v>46</v>
      </c>
      <c r="C37" s="112"/>
      <c r="D37" s="80"/>
      <c r="E37" s="81"/>
      <c r="F37" s="82"/>
      <c r="G37" s="83">
        <f t="shared" si="18"/>
        <v>0</v>
      </c>
      <c r="H37" s="84"/>
      <c r="I37" s="82"/>
      <c r="J37" s="85"/>
      <c r="K37" s="82"/>
      <c r="L37" s="82"/>
      <c r="M37" s="82"/>
      <c r="N37" s="93">
        <f t="shared" si="19"/>
        <v>0</v>
      </c>
      <c r="O37" s="87">
        <v>0</v>
      </c>
      <c r="P37" s="114">
        <f t="shared" si="20"/>
        <v>0</v>
      </c>
      <c r="Q37" s="115" t="e">
        <f>N37/N40</f>
        <v>#DIV/0!</v>
      </c>
      <c r="R37" s="90">
        <f t="shared" si="21"/>
        <v>0</v>
      </c>
      <c r="S37" s="1"/>
    </row>
    <row r="38" spans="1:21" hidden="1" x14ac:dyDescent="0.2">
      <c r="A38" s="92"/>
      <c r="B38" s="105" t="s">
        <v>47</v>
      </c>
      <c r="C38" s="112"/>
      <c r="D38" s="80"/>
      <c r="E38" s="81"/>
      <c r="F38" s="82"/>
      <c r="G38" s="83">
        <f t="shared" si="18"/>
        <v>0</v>
      </c>
      <c r="H38" s="84"/>
      <c r="I38" s="82"/>
      <c r="J38" s="85"/>
      <c r="K38" s="82"/>
      <c r="L38" s="82"/>
      <c r="M38" s="82"/>
      <c r="N38" s="93">
        <f t="shared" si="19"/>
        <v>0</v>
      </c>
      <c r="O38" s="87">
        <v>0</v>
      </c>
      <c r="P38" s="114">
        <f t="shared" si="20"/>
        <v>0</v>
      </c>
      <c r="Q38" s="115" t="e">
        <f>N38/N40</f>
        <v>#DIV/0!</v>
      </c>
      <c r="R38" s="90">
        <f t="shared" si="21"/>
        <v>0</v>
      </c>
      <c r="S38" s="1"/>
    </row>
    <row r="39" spans="1:21" hidden="1" x14ac:dyDescent="0.2">
      <c r="A39" s="92"/>
      <c r="B39" s="105" t="s">
        <v>48</v>
      </c>
      <c r="C39" s="112"/>
      <c r="D39" s="80"/>
      <c r="E39" s="81"/>
      <c r="F39" s="82"/>
      <c r="G39" s="83">
        <f t="shared" si="18"/>
        <v>0</v>
      </c>
      <c r="H39" s="84"/>
      <c r="I39" s="82"/>
      <c r="J39" s="85"/>
      <c r="K39" s="82"/>
      <c r="L39" s="82"/>
      <c r="M39" s="82"/>
      <c r="N39" s="93">
        <f t="shared" si="19"/>
        <v>0</v>
      </c>
      <c r="O39" s="87">
        <v>0</v>
      </c>
      <c r="P39" s="114">
        <f t="shared" si="20"/>
        <v>0</v>
      </c>
      <c r="Q39" s="115" t="e">
        <f>N39/N40</f>
        <v>#DIV/0!</v>
      </c>
      <c r="R39" s="90">
        <f t="shared" si="21"/>
        <v>0</v>
      </c>
      <c r="S39" s="1"/>
    </row>
    <row r="40" spans="1:21" hidden="1" x14ac:dyDescent="0.2">
      <c r="A40" s="94" t="s">
        <v>49</v>
      </c>
      <c r="B40" s="95"/>
      <c r="C40" s="100">
        <f t="shared" ref="C40:H40" si="22">SUM(C34:C39)</f>
        <v>0</v>
      </c>
      <c r="D40" s="97">
        <f t="shared" si="22"/>
        <v>0</v>
      </c>
      <c r="E40" s="98">
        <f t="shared" si="22"/>
        <v>0</v>
      </c>
      <c r="F40" s="99">
        <f t="shared" si="22"/>
        <v>0</v>
      </c>
      <c r="G40" s="121">
        <f t="shared" si="22"/>
        <v>0</v>
      </c>
      <c r="H40" s="100">
        <f t="shared" si="22"/>
        <v>0</v>
      </c>
      <c r="I40" s="117">
        <f t="shared" ref="I40:M40" si="23">SUM(I34:I39)</f>
        <v>0</v>
      </c>
      <c r="J40" s="117">
        <f t="shared" si="23"/>
        <v>0</v>
      </c>
      <c r="K40" s="117">
        <f t="shared" si="23"/>
        <v>0</v>
      </c>
      <c r="L40" s="117">
        <f t="shared" si="23"/>
        <v>0</v>
      </c>
      <c r="M40" s="117">
        <f t="shared" si="23"/>
        <v>0</v>
      </c>
      <c r="N40" s="117">
        <f>SUM(N34:N39)</f>
        <v>0</v>
      </c>
      <c r="O40" s="87">
        <v>0</v>
      </c>
      <c r="P40" s="118">
        <f>SUM(P34:P39)</f>
        <v>0</v>
      </c>
      <c r="Q40" s="119" t="e">
        <f>SUM(Q34:Q39)</f>
        <v>#DIV/0!</v>
      </c>
      <c r="R40" s="111">
        <f>SUM(R34:R39)</f>
        <v>0</v>
      </c>
      <c r="S40" s="1"/>
    </row>
    <row r="41" spans="1:21" ht="16" hidden="1" x14ac:dyDescent="0.2">
      <c r="A41" s="122" t="s">
        <v>51</v>
      </c>
      <c r="B41" s="123" t="s">
        <v>43</v>
      </c>
      <c r="C41" s="112"/>
      <c r="D41" s="124"/>
      <c r="E41" s="125"/>
      <c r="F41" s="126"/>
      <c r="G41" s="127">
        <f t="shared" ref="G41:G46" si="24">(C41+D41+F41)-E41</f>
        <v>0</v>
      </c>
      <c r="H41" s="128"/>
      <c r="I41" s="126"/>
      <c r="J41" s="129"/>
      <c r="K41" s="126"/>
      <c r="L41" s="126"/>
      <c r="M41" s="126"/>
      <c r="N41" s="130">
        <f t="shared" ref="N41:N45" si="25">G41-SUM(H41:M41)</f>
        <v>0</v>
      </c>
      <c r="O41" s="87">
        <v>0</v>
      </c>
      <c r="P41" s="131">
        <f t="shared" ref="P41:P46" si="26">N41*O41</f>
        <v>0</v>
      </c>
      <c r="Q41" s="132" t="e">
        <f>N41/N47</f>
        <v>#DIV/0!</v>
      </c>
      <c r="R41" s="133">
        <f t="shared" ref="R41:R46" si="27">P41/K$166</f>
        <v>0</v>
      </c>
      <c r="S41" s="1"/>
    </row>
    <row r="42" spans="1:21" hidden="1" x14ac:dyDescent="0.2">
      <c r="A42" s="91"/>
      <c r="B42" s="105" t="s">
        <v>44</v>
      </c>
      <c r="C42" s="112"/>
      <c r="D42" s="134"/>
      <c r="E42" s="81"/>
      <c r="F42" s="82"/>
      <c r="G42" s="135">
        <f t="shared" si="24"/>
        <v>0</v>
      </c>
      <c r="H42" s="84"/>
      <c r="I42" s="82"/>
      <c r="J42" s="85"/>
      <c r="K42" s="82"/>
      <c r="L42" s="82"/>
      <c r="M42" s="82"/>
      <c r="N42" s="93">
        <f t="shared" si="25"/>
        <v>0</v>
      </c>
      <c r="O42" s="87">
        <v>0</v>
      </c>
      <c r="P42" s="114">
        <f t="shared" si="26"/>
        <v>0</v>
      </c>
      <c r="Q42" s="115" t="e">
        <f>N42/N47</f>
        <v>#DIV/0!</v>
      </c>
      <c r="R42" s="90">
        <f t="shared" si="27"/>
        <v>0</v>
      </c>
      <c r="S42" s="1"/>
    </row>
    <row r="43" spans="1:21" hidden="1" x14ac:dyDescent="0.2">
      <c r="A43" s="113"/>
      <c r="B43" s="105" t="s">
        <v>45</v>
      </c>
      <c r="C43" s="112"/>
      <c r="D43" s="134"/>
      <c r="E43" s="81"/>
      <c r="F43" s="82"/>
      <c r="G43" s="135">
        <f t="shared" si="24"/>
        <v>0</v>
      </c>
      <c r="H43" s="84"/>
      <c r="I43" s="82"/>
      <c r="J43" s="85"/>
      <c r="K43" s="82"/>
      <c r="L43" s="82"/>
      <c r="M43" s="82"/>
      <c r="N43" s="93">
        <f t="shared" si="25"/>
        <v>0</v>
      </c>
      <c r="O43" s="87">
        <v>0</v>
      </c>
      <c r="P43" s="114">
        <f t="shared" si="26"/>
        <v>0</v>
      </c>
      <c r="Q43" s="115" t="e">
        <f>N43/N47</f>
        <v>#DIV/0!</v>
      </c>
      <c r="R43" s="90">
        <f t="shared" si="27"/>
        <v>0</v>
      </c>
      <c r="S43" s="1"/>
    </row>
    <row r="44" spans="1:21" hidden="1" x14ac:dyDescent="0.2">
      <c r="A44" s="92"/>
      <c r="B44" s="105" t="s">
        <v>46</v>
      </c>
      <c r="C44" s="112"/>
      <c r="D44" s="134"/>
      <c r="E44" s="81"/>
      <c r="F44" s="82"/>
      <c r="G44" s="135">
        <f t="shared" si="24"/>
        <v>0</v>
      </c>
      <c r="H44" s="84"/>
      <c r="I44" s="82"/>
      <c r="J44" s="85"/>
      <c r="K44" s="82"/>
      <c r="L44" s="82"/>
      <c r="M44" s="82"/>
      <c r="N44" s="93">
        <f t="shared" si="25"/>
        <v>0</v>
      </c>
      <c r="O44" s="87">
        <v>0</v>
      </c>
      <c r="P44" s="114">
        <f t="shared" si="26"/>
        <v>0</v>
      </c>
      <c r="Q44" s="115" t="e">
        <f>N44/N47</f>
        <v>#DIV/0!</v>
      </c>
      <c r="R44" s="90">
        <f t="shared" si="27"/>
        <v>0</v>
      </c>
      <c r="S44" s="1"/>
    </row>
    <row r="45" spans="1:21" hidden="1" x14ac:dyDescent="0.2">
      <c r="A45" s="92"/>
      <c r="B45" s="105" t="s">
        <v>47</v>
      </c>
      <c r="C45" s="112"/>
      <c r="D45" s="134"/>
      <c r="E45" s="81"/>
      <c r="F45" s="82"/>
      <c r="G45" s="135">
        <f t="shared" si="24"/>
        <v>0</v>
      </c>
      <c r="H45" s="84"/>
      <c r="I45" s="82"/>
      <c r="J45" s="85"/>
      <c r="K45" s="82"/>
      <c r="L45" s="82"/>
      <c r="M45" s="82"/>
      <c r="N45" s="93">
        <f t="shared" si="25"/>
        <v>0</v>
      </c>
      <c r="O45" s="87">
        <v>0</v>
      </c>
      <c r="P45" s="114">
        <f t="shared" si="26"/>
        <v>0</v>
      </c>
      <c r="Q45" s="115" t="e">
        <f>N45/N47</f>
        <v>#DIV/0!</v>
      </c>
      <c r="R45" s="90">
        <f t="shared" si="27"/>
        <v>0</v>
      </c>
      <c r="S45" s="1"/>
    </row>
    <row r="46" spans="1:21" hidden="1" x14ac:dyDescent="0.2">
      <c r="A46" s="92"/>
      <c r="B46" s="105" t="s">
        <v>48</v>
      </c>
      <c r="C46" s="112"/>
      <c r="D46" s="134"/>
      <c r="E46" s="81"/>
      <c r="F46" s="82"/>
      <c r="G46" s="135">
        <f t="shared" si="24"/>
        <v>0</v>
      </c>
      <c r="H46" s="84"/>
      <c r="I46" s="82"/>
      <c r="J46" s="85"/>
      <c r="K46" s="82"/>
      <c r="L46" s="82"/>
      <c r="M46" s="82"/>
      <c r="N46" s="93">
        <f t="shared" ref="N46" si="28">G46-SUM(H46:M46)</f>
        <v>0</v>
      </c>
      <c r="O46" s="87">
        <v>0</v>
      </c>
      <c r="P46" s="114">
        <f t="shared" si="26"/>
        <v>0</v>
      </c>
      <c r="Q46" s="115" t="e">
        <f>N46/N47</f>
        <v>#DIV/0!</v>
      </c>
      <c r="R46" s="90">
        <f t="shared" si="27"/>
        <v>0</v>
      </c>
      <c r="S46" s="1"/>
    </row>
    <row r="47" spans="1:21" hidden="1" x14ac:dyDescent="0.2">
      <c r="A47" s="94" t="s">
        <v>49</v>
      </c>
      <c r="B47" s="95"/>
      <c r="C47" s="100">
        <f t="shared" ref="C47" si="29">SUM(C41:C46)</f>
        <v>0</v>
      </c>
      <c r="D47" s="97">
        <f>SUM(D41:D46)</f>
        <v>0</v>
      </c>
      <c r="E47" s="98">
        <f t="shared" ref="E47:M47" si="30">SUM(E41:E45)</f>
        <v>0</v>
      </c>
      <c r="F47" s="99">
        <f t="shared" si="30"/>
        <v>0</v>
      </c>
      <c r="G47" s="121">
        <f>SUM(G41:G46)</f>
        <v>0</v>
      </c>
      <c r="H47" s="100">
        <f t="shared" si="30"/>
        <v>0</v>
      </c>
      <c r="I47" s="99">
        <f t="shared" si="30"/>
        <v>0</v>
      </c>
      <c r="J47" s="99">
        <f t="shared" si="30"/>
        <v>0</v>
      </c>
      <c r="K47" s="99">
        <f t="shared" si="30"/>
        <v>0</v>
      </c>
      <c r="L47" s="99">
        <f t="shared" si="30"/>
        <v>0</v>
      </c>
      <c r="M47" s="99">
        <f t="shared" si="30"/>
        <v>0</v>
      </c>
      <c r="N47" s="117">
        <f>SUM(N41:N46)</f>
        <v>0</v>
      </c>
      <c r="O47" s="87">
        <v>0</v>
      </c>
      <c r="P47" s="101">
        <f>SUM(P41:P45)</f>
        <v>0</v>
      </c>
      <c r="Q47" s="102" t="e">
        <f>SUM(Q41:Q45)</f>
        <v>#DIV/0!</v>
      </c>
      <c r="R47" s="111">
        <f>SUM(R41:R45)</f>
        <v>0</v>
      </c>
      <c r="S47" s="1"/>
    </row>
    <row r="48" spans="1:21" hidden="1" x14ac:dyDescent="0.2">
      <c r="A48" s="104"/>
      <c r="B48" s="105" t="s">
        <v>43</v>
      </c>
      <c r="C48" s="112"/>
      <c r="D48" s="134"/>
      <c r="E48" s="81"/>
      <c r="F48" s="82"/>
      <c r="G48" s="135">
        <f t="shared" ref="G48:G52" si="31">(C48+D48+F48)-E48</f>
        <v>0</v>
      </c>
      <c r="H48" s="84"/>
      <c r="I48" s="82"/>
      <c r="J48" s="85"/>
      <c r="K48" s="82"/>
      <c r="L48" s="82"/>
      <c r="M48" s="82"/>
      <c r="N48" s="93">
        <f t="shared" ref="N48:N52" si="32">G48-SUM(H48:M48)</f>
        <v>0</v>
      </c>
      <c r="O48" s="87">
        <v>65</v>
      </c>
      <c r="P48" s="88">
        <f t="shared" ref="P48:P52" si="33">N48*O48</f>
        <v>0</v>
      </c>
      <c r="Q48" s="89" t="e">
        <f>N48/N53</f>
        <v>#DIV/0!</v>
      </c>
      <c r="R48" s="90">
        <f>P48/K$166</f>
        <v>0</v>
      </c>
      <c r="S48" s="1"/>
      <c r="U48" s="76"/>
    </row>
    <row r="49" spans="1:21" hidden="1" x14ac:dyDescent="0.2">
      <c r="A49" s="91"/>
      <c r="B49" s="105" t="s">
        <v>44</v>
      </c>
      <c r="C49" s="112"/>
      <c r="D49" s="134"/>
      <c r="E49" s="81"/>
      <c r="F49" s="82"/>
      <c r="G49" s="135">
        <f t="shared" si="31"/>
        <v>0</v>
      </c>
      <c r="H49" s="84"/>
      <c r="I49" s="82"/>
      <c r="J49" s="85"/>
      <c r="K49" s="82"/>
      <c r="L49" s="82"/>
      <c r="M49" s="82"/>
      <c r="N49" s="93">
        <f t="shared" si="32"/>
        <v>0</v>
      </c>
      <c r="O49" s="87">
        <v>65</v>
      </c>
      <c r="P49" s="88">
        <f t="shared" si="33"/>
        <v>0</v>
      </c>
      <c r="Q49" s="89" t="e">
        <f>N49/N53</f>
        <v>#DIV/0!</v>
      </c>
      <c r="R49" s="90">
        <f>P49/K$166</f>
        <v>0</v>
      </c>
      <c r="S49" s="1"/>
      <c r="U49" s="76"/>
    </row>
    <row r="50" spans="1:21" hidden="1" x14ac:dyDescent="0.2">
      <c r="A50" s="113"/>
      <c r="B50" s="105" t="s">
        <v>45</v>
      </c>
      <c r="C50" s="112"/>
      <c r="D50" s="134"/>
      <c r="E50" s="81"/>
      <c r="F50" s="82"/>
      <c r="G50" s="135">
        <f t="shared" si="31"/>
        <v>0</v>
      </c>
      <c r="H50" s="84"/>
      <c r="I50" s="82"/>
      <c r="J50" s="85"/>
      <c r="K50" s="82"/>
      <c r="L50" s="82"/>
      <c r="M50" s="82"/>
      <c r="N50" s="93">
        <f t="shared" si="32"/>
        <v>0</v>
      </c>
      <c r="O50" s="87">
        <v>65</v>
      </c>
      <c r="P50" s="88">
        <f t="shared" si="33"/>
        <v>0</v>
      </c>
      <c r="Q50" s="89" t="e">
        <f>N50/N53</f>
        <v>#DIV/0!</v>
      </c>
      <c r="R50" s="90">
        <f>P50/K$166</f>
        <v>0</v>
      </c>
      <c r="S50" s="1"/>
      <c r="U50" s="76"/>
    </row>
    <row r="51" spans="1:21" hidden="1" x14ac:dyDescent="0.2">
      <c r="A51" s="92"/>
      <c r="B51" s="105" t="s">
        <v>46</v>
      </c>
      <c r="C51" s="112"/>
      <c r="D51" s="134"/>
      <c r="E51" s="81"/>
      <c r="F51" s="82"/>
      <c r="G51" s="135">
        <f t="shared" si="31"/>
        <v>0</v>
      </c>
      <c r="H51" s="84"/>
      <c r="I51" s="82"/>
      <c r="J51" s="85"/>
      <c r="K51" s="82"/>
      <c r="L51" s="82"/>
      <c r="M51" s="82"/>
      <c r="N51" s="93">
        <f t="shared" si="32"/>
        <v>0</v>
      </c>
      <c r="O51" s="87">
        <v>65</v>
      </c>
      <c r="P51" s="88">
        <f t="shared" si="33"/>
        <v>0</v>
      </c>
      <c r="Q51" s="89" t="e">
        <f>N51/N53</f>
        <v>#DIV/0!</v>
      </c>
      <c r="R51" s="90">
        <f>P51/K$166</f>
        <v>0</v>
      </c>
      <c r="S51" s="1"/>
      <c r="U51" s="76"/>
    </row>
    <row r="52" spans="1:21" hidden="1" x14ac:dyDescent="0.2">
      <c r="A52" s="92"/>
      <c r="B52" s="105" t="s">
        <v>47</v>
      </c>
      <c r="C52" s="112"/>
      <c r="D52" s="134"/>
      <c r="E52" s="81"/>
      <c r="F52" s="82"/>
      <c r="G52" s="135">
        <f t="shared" si="31"/>
        <v>0</v>
      </c>
      <c r="H52" s="84"/>
      <c r="I52" s="82"/>
      <c r="J52" s="85"/>
      <c r="K52" s="82"/>
      <c r="L52" s="82"/>
      <c r="M52" s="82"/>
      <c r="N52" s="93">
        <f t="shared" si="32"/>
        <v>0</v>
      </c>
      <c r="O52" s="87">
        <v>65</v>
      </c>
      <c r="P52" s="88">
        <f t="shared" si="33"/>
        <v>0</v>
      </c>
      <c r="Q52" s="89" t="e">
        <f>N52/N53</f>
        <v>#DIV/0!</v>
      </c>
      <c r="R52" s="90">
        <f>P52/K$166</f>
        <v>0</v>
      </c>
      <c r="S52" s="1"/>
      <c r="U52" s="76"/>
    </row>
    <row r="53" spans="1:21" hidden="1" x14ac:dyDescent="0.2">
      <c r="A53" s="94" t="s">
        <v>49</v>
      </c>
      <c r="B53" s="95"/>
      <c r="C53" s="100">
        <f t="shared" ref="C53:N53" si="34">SUM(C48:C52)</f>
        <v>0</v>
      </c>
      <c r="D53" s="97">
        <f t="shared" si="34"/>
        <v>0</v>
      </c>
      <c r="E53" s="98">
        <f t="shared" si="34"/>
        <v>0</v>
      </c>
      <c r="F53" s="99">
        <f t="shared" si="34"/>
        <v>0</v>
      </c>
      <c r="G53" s="121">
        <f t="shared" si="34"/>
        <v>0</v>
      </c>
      <c r="H53" s="100">
        <f t="shared" si="34"/>
        <v>0</v>
      </c>
      <c r="I53" s="99">
        <f t="shared" si="34"/>
        <v>0</v>
      </c>
      <c r="J53" s="99">
        <f t="shared" si="34"/>
        <v>0</v>
      </c>
      <c r="K53" s="99">
        <f t="shared" si="34"/>
        <v>0</v>
      </c>
      <c r="L53" s="99">
        <f t="shared" si="34"/>
        <v>0</v>
      </c>
      <c r="M53" s="99">
        <f t="shared" si="34"/>
        <v>0</v>
      </c>
      <c r="N53" s="117">
        <f t="shared" si="34"/>
        <v>0</v>
      </c>
      <c r="O53" s="87">
        <v>65</v>
      </c>
      <c r="P53" s="118">
        <f>SUM(P48:P52)</f>
        <v>0</v>
      </c>
      <c r="Q53" s="119" t="e">
        <f>SUM(Q48:Q52)</f>
        <v>#DIV/0!</v>
      </c>
      <c r="R53" s="111">
        <f>SUM(R48:R52)</f>
        <v>0</v>
      </c>
      <c r="S53" s="1"/>
    </row>
    <row r="54" spans="1:21" hidden="1" x14ac:dyDescent="0.2">
      <c r="A54" s="136"/>
      <c r="B54" s="105" t="s">
        <v>43</v>
      </c>
      <c r="C54" s="112"/>
      <c r="D54" s="134"/>
      <c r="E54" s="81"/>
      <c r="F54" s="82"/>
      <c r="G54" s="135">
        <f t="shared" ref="G54:G58" si="35">(C54+D54+F54)-E54</f>
        <v>0</v>
      </c>
      <c r="H54" s="84"/>
      <c r="I54" s="82"/>
      <c r="J54" s="85"/>
      <c r="K54" s="82"/>
      <c r="L54" s="82"/>
      <c r="M54" s="82"/>
      <c r="N54" s="86">
        <f t="shared" ref="N54:N58" si="36">G54-SUM(H54:M54)</f>
        <v>0</v>
      </c>
      <c r="O54" s="87">
        <v>65</v>
      </c>
      <c r="P54" s="88">
        <f t="shared" ref="P54:P58" si="37">N54*O54</f>
        <v>0</v>
      </c>
      <c r="Q54" s="89" t="e">
        <f>N54/N59</f>
        <v>#DIV/0!</v>
      </c>
      <c r="R54" s="90">
        <f>P54/K$166</f>
        <v>0</v>
      </c>
      <c r="S54" s="1"/>
    </row>
    <row r="55" spans="1:21" hidden="1" x14ac:dyDescent="0.2">
      <c r="A55" s="137"/>
      <c r="B55" s="105" t="s">
        <v>44</v>
      </c>
      <c r="C55" s="112"/>
      <c r="D55" s="134"/>
      <c r="E55" s="81"/>
      <c r="F55" s="82"/>
      <c r="G55" s="135">
        <f t="shared" si="35"/>
        <v>0</v>
      </c>
      <c r="H55" s="84"/>
      <c r="I55" s="82"/>
      <c r="J55" s="85"/>
      <c r="K55" s="82"/>
      <c r="L55" s="82"/>
      <c r="M55" s="82"/>
      <c r="N55" s="86">
        <f t="shared" si="36"/>
        <v>0</v>
      </c>
      <c r="O55" s="87">
        <v>65</v>
      </c>
      <c r="P55" s="88">
        <f t="shared" si="37"/>
        <v>0</v>
      </c>
      <c r="Q55" s="89" t="e">
        <f>N55/N59</f>
        <v>#DIV/0!</v>
      </c>
      <c r="R55" s="90">
        <f>P55/K$166</f>
        <v>0</v>
      </c>
      <c r="S55" s="1"/>
    </row>
    <row r="56" spans="1:21" hidden="1" x14ac:dyDescent="0.2">
      <c r="A56" s="138"/>
      <c r="B56" s="105" t="s">
        <v>45</v>
      </c>
      <c r="C56" s="112"/>
      <c r="D56" s="134"/>
      <c r="E56" s="81"/>
      <c r="F56" s="82"/>
      <c r="G56" s="135">
        <f t="shared" si="35"/>
        <v>0</v>
      </c>
      <c r="H56" s="84"/>
      <c r="I56" s="82"/>
      <c r="J56" s="85"/>
      <c r="K56" s="82"/>
      <c r="L56" s="82"/>
      <c r="M56" s="82"/>
      <c r="N56" s="86">
        <f t="shared" si="36"/>
        <v>0</v>
      </c>
      <c r="O56" s="87">
        <v>65</v>
      </c>
      <c r="P56" s="88">
        <f t="shared" si="37"/>
        <v>0</v>
      </c>
      <c r="Q56" s="89" t="e">
        <f>N56/N59</f>
        <v>#DIV/0!</v>
      </c>
      <c r="R56" s="90">
        <f>P56/K$166</f>
        <v>0</v>
      </c>
      <c r="S56" s="1"/>
    </row>
    <row r="57" spans="1:21" hidden="1" x14ac:dyDescent="0.2">
      <c r="A57" s="139"/>
      <c r="B57" s="105" t="s">
        <v>46</v>
      </c>
      <c r="C57" s="112"/>
      <c r="D57" s="134"/>
      <c r="E57" s="81"/>
      <c r="F57" s="82"/>
      <c r="G57" s="135">
        <f t="shared" si="35"/>
        <v>0</v>
      </c>
      <c r="H57" s="84"/>
      <c r="I57" s="82"/>
      <c r="J57" s="85"/>
      <c r="K57" s="82"/>
      <c r="L57" s="82"/>
      <c r="M57" s="82"/>
      <c r="N57" s="86">
        <f t="shared" si="36"/>
        <v>0</v>
      </c>
      <c r="O57" s="87">
        <v>65</v>
      </c>
      <c r="P57" s="88">
        <f t="shared" si="37"/>
        <v>0</v>
      </c>
      <c r="Q57" s="89" t="e">
        <f>N57/N59</f>
        <v>#DIV/0!</v>
      </c>
      <c r="R57" s="90">
        <f>P57/K$166</f>
        <v>0</v>
      </c>
      <c r="S57" s="1"/>
    </row>
    <row r="58" spans="1:21" hidden="1" x14ac:dyDescent="0.2">
      <c r="A58" s="139"/>
      <c r="B58" s="105" t="s">
        <v>47</v>
      </c>
      <c r="C58" s="112"/>
      <c r="D58" s="134"/>
      <c r="E58" s="81"/>
      <c r="F58" s="82"/>
      <c r="G58" s="135">
        <f t="shared" si="35"/>
        <v>0</v>
      </c>
      <c r="H58" s="84"/>
      <c r="I58" s="82"/>
      <c r="J58" s="85"/>
      <c r="K58" s="82"/>
      <c r="L58" s="82"/>
      <c r="M58" s="82"/>
      <c r="N58" s="86">
        <f t="shared" si="36"/>
        <v>0</v>
      </c>
      <c r="O58" s="87">
        <v>65</v>
      </c>
      <c r="P58" s="88">
        <f t="shared" si="37"/>
        <v>0</v>
      </c>
      <c r="Q58" s="89" t="e">
        <f>N58/N59</f>
        <v>#DIV/0!</v>
      </c>
      <c r="R58" s="90">
        <f>P58/K$166</f>
        <v>0</v>
      </c>
      <c r="S58" s="1"/>
    </row>
    <row r="59" spans="1:21" hidden="1" x14ac:dyDescent="0.2">
      <c r="A59" s="140" t="s">
        <v>49</v>
      </c>
      <c r="B59" s="95"/>
      <c r="C59" s="100">
        <f t="shared" ref="C59" si="38">SUM(C54:C58)</f>
        <v>0</v>
      </c>
      <c r="D59" s="97">
        <f t="shared" ref="D59:N59" si="39">SUM(D54:D58)</f>
        <v>0</v>
      </c>
      <c r="E59" s="98">
        <f t="shared" si="39"/>
        <v>0</v>
      </c>
      <c r="F59" s="99">
        <f t="shared" si="39"/>
        <v>0</v>
      </c>
      <c r="G59" s="121">
        <f t="shared" si="39"/>
        <v>0</v>
      </c>
      <c r="H59" s="100">
        <f t="shared" si="39"/>
        <v>0</v>
      </c>
      <c r="I59" s="99">
        <f t="shared" si="39"/>
        <v>0</v>
      </c>
      <c r="J59" s="99">
        <f t="shared" si="39"/>
        <v>0</v>
      </c>
      <c r="K59" s="99">
        <f t="shared" si="39"/>
        <v>0</v>
      </c>
      <c r="L59" s="99">
        <f t="shared" si="39"/>
        <v>0</v>
      </c>
      <c r="M59" s="99">
        <f t="shared" si="39"/>
        <v>0</v>
      </c>
      <c r="N59" s="99">
        <f t="shared" si="39"/>
        <v>0</v>
      </c>
      <c r="O59" s="87">
        <v>65</v>
      </c>
      <c r="P59" s="101">
        <f>SUM(P54:P58)</f>
        <v>0</v>
      </c>
      <c r="Q59" s="102" t="e">
        <f>SUM(Q54:Q58)</f>
        <v>#DIV/0!</v>
      </c>
      <c r="R59" s="111">
        <f>SUM(R54:R58)</f>
        <v>0</v>
      </c>
      <c r="S59" s="1"/>
    </row>
    <row r="60" spans="1:21" hidden="1" x14ac:dyDescent="0.2">
      <c r="A60" s="136"/>
      <c r="B60" s="105" t="s">
        <v>43</v>
      </c>
      <c r="C60" s="112"/>
      <c r="D60" s="134"/>
      <c r="E60" s="81"/>
      <c r="F60" s="82"/>
      <c r="G60" s="135">
        <f t="shared" ref="G60:G64" si="40">(C60+D60+F60)-E60</f>
        <v>0</v>
      </c>
      <c r="H60" s="84"/>
      <c r="I60" s="82"/>
      <c r="J60" s="85"/>
      <c r="K60" s="82"/>
      <c r="L60" s="82"/>
      <c r="M60" s="82"/>
      <c r="N60" s="86">
        <f t="shared" ref="N60:N64" si="41">G60-SUM(H60:M60)</f>
        <v>0</v>
      </c>
      <c r="O60" s="87">
        <v>65</v>
      </c>
      <c r="P60" s="88">
        <f t="shared" ref="P60:P64" si="42">N60*O60</f>
        <v>0</v>
      </c>
      <c r="Q60" s="89" t="e">
        <f>N60/N65</f>
        <v>#DIV/0!</v>
      </c>
      <c r="R60" s="90">
        <f>P60/K$166</f>
        <v>0</v>
      </c>
      <c r="S60" s="1"/>
    </row>
    <row r="61" spans="1:21" hidden="1" x14ac:dyDescent="0.2">
      <c r="A61" s="137"/>
      <c r="B61" s="105" t="s">
        <v>44</v>
      </c>
      <c r="C61" s="112"/>
      <c r="D61" s="134"/>
      <c r="E61" s="81"/>
      <c r="F61" s="82"/>
      <c r="G61" s="135">
        <f t="shared" si="40"/>
        <v>0</v>
      </c>
      <c r="H61" s="84"/>
      <c r="I61" s="82"/>
      <c r="J61" s="85"/>
      <c r="K61" s="82"/>
      <c r="L61" s="82"/>
      <c r="M61" s="82"/>
      <c r="N61" s="86">
        <f t="shared" si="41"/>
        <v>0</v>
      </c>
      <c r="O61" s="87">
        <v>65</v>
      </c>
      <c r="P61" s="88">
        <f t="shared" si="42"/>
        <v>0</v>
      </c>
      <c r="Q61" s="89" t="e">
        <f>N61/N65</f>
        <v>#DIV/0!</v>
      </c>
      <c r="R61" s="90">
        <f>P61/K$166</f>
        <v>0</v>
      </c>
      <c r="S61" s="1"/>
    </row>
    <row r="62" spans="1:21" hidden="1" x14ac:dyDescent="0.2">
      <c r="A62" s="139"/>
      <c r="B62" s="105" t="s">
        <v>45</v>
      </c>
      <c r="C62" s="112"/>
      <c r="D62" s="134"/>
      <c r="E62" s="81"/>
      <c r="F62" s="82"/>
      <c r="G62" s="135">
        <f t="shared" si="40"/>
        <v>0</v>
      </c>
      <c r="H62" s="84"/>
      <c r="I62" s="82"/>
      <c r="J62" s="85"/>
      <c r="K62" s="82"/>
      <c r="L62" s="82"/>
      <c r="M62" s="82"/>
      <c r="N62" s="86">
        <f t="shared" si="41"/>
        <v>0</v>
      </c>
      <c r="O62" s="87">
        <v>65</v>
      </c>
      <c r="P62" s="88">
        <f t="shared" si="42"/>
        <v>0</v>
      </c>
      <c r="Q62" s="89" t="e">
        <f>N62/N65</f>
        <v>#DIV/0!</v>
      </c>
      <c r="R62" s="90">
        <f>P62/K$166</f>
        <v>0</v>
      </c>
      <c r="S62" s="1"/>
    </row>
    <row r="63" spans="1:21" hidden="1" x14ac:dyDescent="0.2">
      <c r="A63" s="139"/>
      <c r="B63" s="105" t="s">
        <v>46</v>
      </c>
      <c r="C63" s="112"/>
      <c r="D63" s="134"/>
      <c r="E63" s="81"/>
      <c r="F63" s="82"/>
      <c r="G63" s="135">
        <f t="shared" si="40"/>
        <v>0</v>
      </c>
      <c r="H63" s="84"/>
      <c r="I63" s="82"/>
      <c r="J63" s="85"/>
      <c r="K63" s="82"/>
      <c r="L63" s="82"/>
      <c r="M63" s="82"/>
      <c r="N63" s="86">
        <f t="shared" si="41"/>
        <v>0</v>
      </c>
      <c r="O63" s="87">
        <v>65</v>
      </c>
      <c r="P63" s="88">
        <f t="shared" si="42"/>
        <v>0</v>
      </c>
      <c r="Q63" s="89" t="e">
        <f>N63/N65</f>
        <v>#DIV/0!</v>
      </c>
      <c r="R63" s="90">
        <f>P63/K$166</f>
        <v>0</v>
      </c>
      <c r="S63" s="1"/>
    </row>
    <row r="64" spans="1:21" hidden="1" x14ac:dyDescent="0.2">
      <c r="A64" s="139"/>
      <c r="B64" s="105" t="s">
        <v>47</v>
      </c>
      <c r="C64" s="112"/>
      <c r="D64" s="134"/>
      <c r="E64" s="81"/>
      <c r="F64" s="82"/>
      <c r="G64" s="135">
        <f t="shared" si="40"/>
        <v>0</v>
      </c>
      <c r="H64" s="84"/>
      <c r="I64" s="82"/>
      <c r="J64" s="85"/>
      <c r="K64" s="82"/>
      <c r="L64" s="82"/>
      <c r="M64" s="82"/>
      <c r="N64" s="86">
        <f t="shared" si="41"/>
        <v>0</v>
      </c>
      <c r="O64" s="87">
        <v>65</v>
      </c>
      <c r="P64" s="88">
        <f t="shared" si="42"/>
        <v>0</v>
      </c>
      <c r="Q64" s="89" t="e">
        <f>N64/N65</f>
        <v>#DIV/0!</v>
      </c>
      <c r="R64" s="90">
        <f>P64/K$166</f>
        <v>0</v>
      </c>
      <c r="S64" s="1"/>
    </row>
    <row r="65" spans="1:23" hidden="1" x14ac:dyDescent="0.2">
      <c r="A65" s="140" t="s">
        <v>49</v>
      </c>
      <c r="B65" s="95"/>
      <c r="C65" s="100">
        <f t="shared" ref="C65:N65" si="43">SUM(C60:C64)</f>
        <v>0</v>
      </c>
      <c r="D65" s="97">
        <f t="shared" si="43"/>
        <v>0</v>
      </c>
      <c r="E65" s="98">
        <f t="shared" si="43"/>
        <v>0</v>
      </c>
      <c r="F65" s="99">
        <f t="shared" si="43"/>
        <v>0</v>
      </c>
      <c r="G65" s="121">
        <f t="shared" si="43"/>
        <v>0</v>
      </c>
      <c r="H65" s="100">
        <f t="shared" si="43"/>
        <v>0</v>
      </c>
      <c r="I65" s="99">
        <f t="shared" si="43"/>
        <v>0</v>
      </c>
      <c r="J65" s="99">
        <f t="shared" si="43"/>
        <v>0</v>
      </c>
      <c r="K65" s="99">
        <f t="shared" si="43"/>
        <v>0</v>
      </c>
      <c r="L65" s="99">
        <f t="shared" si="43"/>
        <v>0</v>
      </c>
      <c r="M65" s="99">
        <f t="shared" si="43"/>
        <v>0</v>
      </c>
      <c r="N65" s="99">
        <f t="shared" si="43"/>
        <v>0</v>
      </c>
      <c r="O65" s="87">
        <v>65</v>
      </c>
      <c r="P65" s="101">
        <f>SUM(P60:P64)</f>
        <v>0</v>
      </c>
      <c r="Q65" s="102" t="e">
        <f>SUM(Q60:Q64)</f>
        <v>#DIV/0!</v>
      </c>
      <c r="R65" s="111">
        <f>SUM(R60:R64)</f>
        <v>0</v>
      </c>
      <c r="S65" s="1"/>
    </row>
    <row r="66" spans="1:23" hidden="1" x14ac:dyDescent="0.2">
      <c r="A66" s="104"/>
      <c r="B66" s="105" t="s">
        <v>43</v>
      </c>
      <c r="C66" s="112"/>
      <c r="D66" s="80"/>
      <c r="E66" s="81"/>
      <c r="F66" s="83"/>
      <c r="G66" s="83">
        <f t="shared" ref="G66:G70" si="44">(C66+D66+F66)-E66</f>
        <v>0</v>
      </c>
      <c r="H66" s="84"/>
      <c r="I66" s="82"/>
      <c r="J66" s="85"/>
      <c r="K66" s="82"/>
      <c r="L66" s="82"/>
      <c r="M66" s="82"/>
      <c r="N66" s="86">
        <f t="shared" ref="N66:N70" si="45">G66-SUM(H66:M66)</f>
        <v>0</v>
      </c>
      <c r="O66" s="87">
        <v>70</v>
      </c>
      <c r="P66" s="88">
        <f t="shared" ref="P66:P70" si="46">N66*O66</f>
        <v>0</v>
      </c>
      <c r="Q66" s="89" t="e">
        <f>N66/N71</f>
        <v>#DIV/0!</v>
      </c>
      <c r="R66" s="90">
        <f>P66/K$166</f>
        <v>0</v>
      </c>
      <c r="S66" s="1"/>
    </row>
    <row r="67" spans="1:23" s="5" customFormat="1" hidden="1" x14ac:dyDescent="0.2">
      <c r="A67" s="107"/>
      <c r="B67" s="105" t="s">
        <v>44</v>
      </c>
      <c r="C67" s="112"/>
      <c r="D67" s="80"/>
      <c r="E67" s="81"/>
      <c r="F67" s="83"/>
      <c r="G67" s="83">
        <f t="shared" si="44"/>
        <v>0</v>
      </c>
      <c r="H67" s="84"/>
      <c r="I67" s="82"/>
      <c r="J67" s="85"/>
      <c r="K67" s="82"/>
      <c r="L67" s="82"/>
      <c r="M67" s="82"/>
      <c r="N67" s="86">
        <f t="shared" si="45"/>
        <v>0</v>
      </c>
      <c r="O67" s="87">
        <v>70</v>
      </c>
      <c r="P67" s="88">
        <f t="shared" si="46"/>
        <v>0</v>
      </c>
      <c r="Q67" s="89" t="e">
        <f>N67/N71</f>
        <v>#DIV/0!</v>
      </c>
      <c r="R67" s="90">
        <f>P67/K$166</f>
        <v>0</v>
      </c>
      <c r="S67" s="1"/>
      <c r="U67"/>
      <c r="V67"/>
      <c r="W67"/>
    </row>
    <row r="68" spans="1:23" s="5" customFormat="1" hidden="1" x14ac:dyDescent="0.2">
      <c r="A68" s="92"/>
      <c r="B68" s="105" t="s">
        <v>45</v>
      </c>
      <c r="C68" s="112"/>
      <c r="D68" s="80"/>
      <c r="E68" s="81"/>
      <c r="F68" s="83"/>
      <c r="G68" s="83">
        <f t="shared" si="44"/>
        <v>0</v>
      </c>
      <c r="H68" s="84"/>
      <c r="I68" s="82"/>
      <c r="J68" s="85"/>
      <c r="K68" s="82"/>
      <c r="L68" s="82"/>
      <c r="M68" s="82"/>
      <c r="N68" s="86">
        <f t="shared" si="45"/>
        <v>0</v>
      </c>
      <c r="O68" s="87">
        <v>70</v>
      </c>
      <c r="P68" s="88">
        <f t="shared" si="46"/>
        <v>0</v>
      </c>
      <c r="Q68" s="89" t="e">
        <f>N68/N71</f>
        <v>#DIV/0!</v>
      </c>
      <c r="R68" s="90">
        <f>P68/K$166</f>
        <v>0</v>
      </c>
      <c r="S68" s="1"/>
      <c r="U68"/>
      <c r="V68"/>
      <c r="W68"/>
    </row>
    <row r="69" spans="1:23" s="5" customFormat="1" hidden="1" x14ac:dyDescent="0.2">
      <c r="A69" s="92"/>
      <c r="B69" s="105" t="s">
        <v>46</v>
      </c>
      <c r="C69" s="112"/>
      <c r="D69" s="80"/>
      <c r="E69" s="81"/>
      <c r="F69" s="83"/>
      <c r="G69" s="83">
        <f t="shared" si="44"/>
        <v>0</v>
      </c>
      <c r="H69" s="84"/>
      <c r="I69" s="82"/>
      <c r="J69" s="85"/>
      <c r="K69" s="82"/>
      <c r="L69" s="82"/>
      <c r="M69" s="82"/>
      <c r="N69" s="93">
        <f t="shared" si="45"/>
        <v>0</v>
      </c>
      <c r="O69" s="87">
        <v>70</v>
      </c>
      <c r="P69" s="114">
        <f t="shared" si="46"/>
        <v>0</v>
      </c>
      <c r="Q69" s="89" t="e">
        <f>N69/N71</f>
        <v>#DIV/0!</v>
      </c>
      <c r="R69" s="90">
        <f>P69/K$166</f>
        <v>0</v>
      </c>
      <c r="S69" s="1"/>
      <c r="U69"/>
      <c r="V69"/>
      <c r="W69"/>
    </row>
    <row r="70" spans="1:23" s="5" customFormat="1" hidden="1" x14ac:dyDescent="0.2">
      <c r="A70" s="92"/>
      <c r="B70" s="105" t="s">
        <v>47</v>
      </c>
      <c r="C70" s="112"/>
      <c r="D70" s="80"/>
      <c r="E70" s="81"/>
      <c r="F70" s="83"/>
      <c r="G70" s="83">
        <f t="shared" si="44"/>
        <v>0</v>
      </c>
      <c r="H70" s="84"/>
      <c r="I70" s="82"/>
      <c r="J70" s="85"/>
      <c r="K70" s="82"/>
      <c r="L70" s="82"/>
      <c r="M70" s="82"/>
      <c r="N70" s="93">
        <f t="shared" si="45"/>
        <v>0</v>
      </c>
      <c r="O70" s="87">
        <v>70</v>
      </c>
      <c r="P70" s="114">
        <f t="shared" si="46"/>
        <v>0</v>
      </c>
      <c r="Q70" s="89" t="e">
        <f>N70/N71</f>
        <v>#DIV/0!</v>
      </c>
      <c r="R70" s="90">
        <f>P70/K$166</f>
        <v>0</v>
      </c>
      <c r="S70" s="1"/>
      <c r="U70"/>
      <c r="V70"/>
      <c r="W70"/>
    </row>
    <row r="71" spans="1:23" s="5" customFormat="1" hidden="1" x14ac:dyDescent="0.2">
      <c r="A71" s="94" t="s">
        <v>49</v>
      </c>
      <c r="B71" s="95"/>
      <c r="C71" s="116">
        <f t="shared" ref="C71:N71" si="47">SUM(C66:C70)</f>
        <v>0</v>
      </c>
      <c r="D71" s="97">
        <f t="shared" si="47"/>
        <v>0</v>
      </c>
      <c r="E71" s="98">
        <f t="shared" si="47"/>
        <v>0</v>
      </c>
      <c r="F71" s="109">
        <f t="shared" si="47"/>
        <v>0</v>
      </c>
      <c r="G71" s="109">
        <f t="shared" si="47"/>
        <v>0</v>
      </c>
      <c r="H71" s="100">
        <f t="shared" si="47"/>
        <v>0</v>
      </c>
      <c r="I71" s="99">
        <f t="shared" si="47"/>
        <v>0</v>
      </c>
      <c r="J71" s="99">
        <f t="shared" si="47"/>
        <v>0</v>
      </c>
      <c r="K71" s="99">
        <f t="shared" si="47"/>
        <v>0</v>
      </c>
      <c r="L71" s="99">
        <f t="shared" si="47"/>
        <v>0</v>
      </c>
      <c r="M71" s="99">
        <f t="shared" si="47"/>
        <v>0</v>
      </c>
      <c r="N71" s="117">
        <f t="shared" si="47"/>
        <v>0</v>
      </c>
      <c r="O71" s="87">
        <v>70</v>
      </c>
      <c r="P71" s="118">
        <f>SUM(P66:P70)</f>
        <v>0</v>
      </c>
      <c r="Q71" s="119" t="e">
        <f>SUM(Q66:Q70)</f>
        <v>#DIV/0!</v>
      </c>
      <c r="R71" s="111">
        <f>SUM(R66:R70)</f>
        <v>0</v>
      </c>
      <c r="S71" s="1"/>
      <c r="U71"/>
      <c r="V71"/>
      <c r="W71"/>
    </row>
    <row r="72" spans="1:23" s="5" customFormat="1" hidden="1" x14ac:dyDescent="0.2">
      <c r="A72" s="104"/>
      <c r="B72" s="105" t="s">
        <v>43</v>
      </c>
      <c r="C72" s="112"/>
      <c r="D72" s="80"/>
      <c r="E72" s="81"/>
      <c r="F72" s="82"/>
      <c r="G72" s="83">
        <f t="shared" ref="G72:G76" si="48">(C72+D72+F72)-E72</f>
        <v>0</v>
      </c>
      <c r="H72" s="84"/>
      <c r="I72" s="82"/>
      <c r="J72" s="85"/>
      <c r="K72" s="82"/>
      <c r="L72" s="82"/>
      <c r="M72" s="82"/>
      <c r="N72" s="93">
        <f t="shared" ref="N72:N76" si="49">G72-SUM(H72:M72)</f>
        <v>0</v>
      </c>
      <c r="O72" s="87">
        <v>70</v>
      </c>
      <c r="P72" s="114">
        <f t="shared" ref="P72:P76" si="50">N72*O72</f>
        <v>0</v>
      </c>
      <c r="Q72" s="115" t="e">
        <f>N72/N77</f>
        <v>#DIV/0!</v>
      </c>
      <c r="R72" s="90">
        <f>P72/K$166</f>
        <v>0</v>
      </c>
      <c r="S72" s="1"/>
      <c r="U72"/>
      <c r="V72"/>
      <c r="W72"/>
    </row>
    <row r="73" spans="1:23" s="5" customFormat="1" hidden="1" x14ac:dyDescent="0.2">
      <c r="A73" s="120"/>
      <c r="B73" s="105" t="s">
        <v>44</v>
      </c>
      <c r="C73" s="112"/>
      <c r="D73" s="80"/>
      <c r="E73" s="81"/>
      <c r="F73" s="82"/>
      <c r="G73" s="83">
        <f t="shared" si="48"/>
        <v>0</v>
      </c>
      <c r="H73" s="84"/>
      <c r="I73" s="82"/>
      <c r="J73" s="85"/>
      <c r="K73" s="82"/>
      <c r="L73" s="82"/>
      <c r="M73" s="82"/>
      <c r="N73" s="93">
        <f t="shared" si="49"/>
        <v>0</v>
      </c>
      <c r="O73" s="87">
        <v>70</v>
      </c>
      <c r="P73" s="114">
        <f t="shared" si="50"/>
        <v>0</v>
      </c>
      <c r="Q73" s="115" t="e">
        <f>N73/N77</f>
        <v>#DIV/0!</v>
      </c>
      <c r="R73" s="90">
        <f>P73/K$166</f>
        <v>0</v>
      </c>
      <c r="S73" s="1"/>
      <c r="U73"/>
      <c r="V73"/>
      <c r="W73"/>
    </row>
    <row r="74" spans="1:23" s="5" customFormat="1" hidden="1" x14ac:dyDescent="0.2">
      <c r="A74" s="91"/>
      <c r="B74" s="105" t="s">
        <v>45</v>
      </c>
      <c r="C74" s="112"/>
      <c r="D74" s="80"/>
      <c r="E74" s="81"/>
      <c r="F74" s="82"/>
      <c r="G74" s="83">
        <f t="shared" si="48"/>
        <v>0</v>
      </c>
      <c r="H74" s="84"/>
      <c r="I74" s="82"/>
      <c r="J74" s="85"/>
      <c r="K74" s="82"/>
      <c r="L74" s="82"/>
      <c r="M74" s="82"/>
      <c r="N74" s="93">
        <f t="shared" si="49"/>
        <v>0</v>
      </c>
      <c r="O74" s="87">
        <v>70</v>
      </c>
      <c r="P74" s="114">
        <f t="shared" si="50"/>
        <v>0</v>
      </c>
      <c r="Q74" s="115" t="e">
        <f>N74/N77</f>
        <v>#DIV/0!</v>
      </c>
      <c r="R74" s="90">
        <f>P74/K$166</f>
        <v>0</v>
      </c>
      <c r="S74" s="1"/>
      <c r="U74"/>
      <c r="V74"/>
      <c r="W74"/>
    </row>
    <row r="75" spans="1:23" s="5" customFormat="1" hidden="1" x14ac:dyDescent="0.2">
      <c r="A75" s="92"/>
      <c r="B75" s="105" t="s">
        <v>46</v>
      </c>
      <c r="C75" s="112"/>
      <c r="D75" s="80"/>
      <c r="E75" s="81"/>
      <c r="F75" s="82"/>
      <c r="G75" s="83">
        <f t="shared" si="48"/>
        <v>0</v>
      </c>
      <c r="H75" s="84"/>
      <c r="I75" s="82"/>
      <c r="J75" s="85"/>
      <c r="K75" s="82"/>
      <c r="L75" s="82"/>
      <c r="M75" s="82"/>
      <c r="N75" s="93">
        <f t="shared" si="49"/>
        <v>0</v>
      </c>
      <c r="O75" s="87">
        <v>70</v>
      </c>
      <c r="P75" s="114">
        <f t="shared" si="50"/>
        <v>0</v>
      </c>
      <c r="Q75" s="115" t="e">
        <f>N75/N77</f>
        <v>#DIV/0!</v>
      </c>
      <c r="R75" s="90">
        <f>P75/K$166</f>
        <v>0</v>
      </c>
      <c r="S75" s="1"/>
      <c r="U75"/>
      <c r="V75"/>
      <c r="W75"/>
    </row>
    <row r="76" spans="1:23" s="5" customFormat="1" hidden="1" x14ac:dyDescent="0.2">
      <c r="A76" s="92"/>
      <c r="B76" s="105" t="s">
        <v>47</v>
      </c>
      <c r="C76" s="112"/>
      <c r="D76" s="80"/>
      <c r="E76" s="81"/>
      <c r="F76" s="82"/>
      <c r="G76" s="83">
        <f t="shared" si="48"/>
        <v>0</v>
      </c>
      <c r="H76" s="84"/>
      <c r="I76" s="82"/>
      <c r="J76" s="85"/>
      <c r="K76" s="82"/>
      <c r="L76" s="82"/>
      <c r="M76" s="82"/>
      <c r="N76" s="93">
        <f t="shared" si="49"/>
        <v>0</v>
      </c>
      <c r="O76" s="87">
        <v>70</v>
      </c>
      <c r="P76" s="114">
        <f t="shared" si="50"/>
        <v>0</v>
      </c>
      <c r="Q76" s="115" t="e">
        <f>N76/N77</f>
        <v>#DIV/0!</v>
      </c>
      <c r="R76" s="90">
        <f>P76/K$166</f>
        <v>0</v>
      </c>
      <c r="S76" s="1"/>
      <c r="U76"/>
      <c r="V76"/>
      <c r="W76"/>
    </row>
    <row r="77" spans="1:23" s="5" customFormat="1" hidden="1" x14ac:dyDescent="0.2">
      <c r="A77" s="94" t="s">
        <v>49</v>
      </c>
      <c r="B77" s="95"/>
      <c r="C77" s="100">
        <f t="shared" ref="C77:N77" si="51">SUM(C72:C76)</f>
        <v>0</v>
      </c>
      <c r="D77" s="97">
        <f t="shared" si="51"/>
        <v>0</v>
      </c>
      <c r="E77" s="98">
        <f t="shared" si="51"/>
        <v>0</v>
      </c>
      <c r="F77" s="99">
        <f t="shared" si="51"/>
        <v>0</v>
      </c>
      <c r="G77" s="121">
        <f t="shared" si="51"/>
        <v>0</v>
      </c>
      <c r="H77" s="100">
        <f t="shared" si="51"/>
        <v>0</v>
      </c>
      <c r="I77" s="99">
        <f t="shared" si="51"/>
        <v>0</v>
      </c>
      <c r="J77" s="99">
        <f t="shared" si="51"/>
        <v>0</v>
      </c>
      <c r="K77" s="99">
        <f t="shared" si="51"/>
        <v>0</v>
      </c>
      <c r="L77" s="99">
        <f t="shared" si="51"/>
        <v>0</v>
      </c>
      <c r="M77" s="99">
        <f t="shared" si="51"/>
        <v>0</v>
      </c>
      <c r="N77" s="117">
        <f t="shared" si="51"/>
        <v>0</v>
      </c>
      <c r="O77" s="87">
        <v>70</v>
      </c>
      <c r="P77" s="118">
        <f>SUM(P72:P76)</f>
        <v>0</v>
      </c>
      <c r="Q77" s="119" t="e">
        <f>SUM(Q72:Q76)</f>
        <v>#DIV/0!</v>
      </c>
      <c r="R77" s="111">
        <f>SUM(R72:R76)</f>
        <v>0</v>
      </c>
      <c r="S77" s="1"/>
      <c r="U77"/>
      <c r="V77"/>
      <c r="W77"/>
    </row>
    <row r="78" spans="1:23" s="5" customFormat="1" hidden="1" x14ac:dyDescent="0.2">
      <c r="A78" s="122"/>
      <c r="B78" s="123" t="s">
        <v>43</v>
      </c>
      <c r="C78" s="112"/>
      <c r="D78" s="124"/>
      <c r="E78" s="125"/>
      <c r="F78" s="126"/>
      <c r="G78" s="127">
        <f t="shared" ref="G78:G82" si="52">(C78+D78+F78)-E78</f>
        <v>0</v>
      </c>
      <c r="H78" s="128"/>
      <c r="I78" s="126"/>
      <c r="J78" s="129"/>
      <c r="K78" s="126"/>
      <c r="L78" s="126"/>
      <c r="M78" s="126"/>
      <c r="N78" s="130">
        <f t="shared" ref="N78:N82" si="53">G78-SUM(H78:M78)</f>
        <v>0</v>
      </c>
      <c r="O78" s="87">
        <v>150</v>
      </c>
      <c r="P78" s="131">
        <f t="shared" ref="P78:P82" si="54">N78*O78</f>
        <v>0</v>
      </c>
      <c r="Q78" s="132" t="e">
        <f>N78/N83</f>
        <v>#DIV/0!</v>
      </c>
      <c r="R78" s="133">
        <f>P78/K$166</f>
        <v>0</v>
      </c>
      <c r="S78" s="1"/>
      <c r="U78"/>
      <c r="V78"/>
      <c r="W78"/>
    </row>
    <row r="79" spans="1:23" s="5" customFormat="1" hidden="1" x14ac:dyDescent="0.2">
      <c r="A79" s="107"/>
      <c r="B79" s="105" t="s">
        <v>44</v>
      </c>
      <c r="C79" s="112"/>
      <c r="D79" s="134"/>
      <c r="E79" s="81"/>
      <c r="F79" s="82"/>
      <c r="G79" s="135">
        <f t="shared" si="52"/>
        <v>0</v>
      </c>
      <c r="H79" s="84"/>
      <c r="I79" s="82"/>
      <c r="J79" s="85"/>
      <c r="K79" s="82"/>
      <c r="L79" s="82"/>
      <c r="M79" s="82"/>
      <c r="N79" s="93">
        <f t="shared" si="53"/>
        <v>0</v>
      </c>
      <c r="O79" s="87">
        <v>150</v>
      </c>
      <c r="P79" s="114">
        <f t="shared" si="54"/>
        <v>0</v>
      </c>
      <c r="Q79" s="115" t="e">
        <f>N79/N83</f>
        <v>#DIV/0!</v>
      </c>
      <c r="R79" s="90">
        <f>P79/K$166</f>
        <v>0</v>
      </c>
      <c r="S79" s="1"/>
      <c r="U79"/>
      <c r="V79"/>
      <c r="W79"/>
    </row>
    <row r="80" spans="1:23" s="5" customFormat="1" hidden="1" x14ac:dyDescent="0.2">
      <c r="A80" s="92"/>
      <c r="B80" s="105" t="s">
        <v>45</v>
      </c>
      <c r="C80" s="112"/>
      <c r="D80" s="134"/>
      <c r="E80" s="81"/>
      <c r="F80" s="82"/>
      <c r="G80" s="135">
        <f t="shared" si="52"/>
        <v>0</v>
      </c>
      <c r="H80" s="84"/>
      <c r="I80" s="82"/>
      <c r="J80" s="85"/>
      <c r="K80" s="82"/>
      <c r="L80" s="82"/>
      <c r="M80" s="82"/>
      <c r="N80" s="93">
        <f t="shared" si="53"/>
        <v>0</v>
      </c>
      <c r="O80" s="87">
        <v>150</v>
      </c>
      <c r="P80" s="114">
        <f t="shared" si="54"/>
        <v>0</v>
      </c>
      <c r="Q80" s="115" t="e">
        <f>N80/N83</f>
        <v>#DIV/0!</v>
      </c>
      <c r="R80" s="90">
        <f>P80/K$166</f>
        <v>0</v>
      </c>
      <c r="S80" s="1"/>
      <c r="U80"/>
      <c r="V80"/>
      <c r="W80"/>
    </row>
    <row r="81" spans="1:23" s="5" customFormat="1" hidden="1" x14ac:dyDescent="0.2">
      <c r="A81" s="92"/>
      <c r="B81" s="105" t="s">
        <v>46</v>
      </c>
      <c r="C81" s="112"/>
      <c r="D81" s="134"/>
      <c r="E81" s="81"/>
      <c r="F81" s="82"/>
      <c r="G81" s="135">
        <f t="shared" si="52"/>
        <v>0</v>
      </c>
      <c r="H81" s="84"/>
      <c r="I81" s="82"/>
      <c r="J81" s="85"/>
      <c r="K81" s="82"/>
      <c r="L81" s="82"/>
      <c r="M81" s="82"/>
      <c r="N81" s="93">
        <f t="shared" si="53"/>
        <v>0</v>
      </c>
      <c r="O81" s="87">
        <v>150</v>
      </c>
      <c r="P81" s="114">
        <f t="shared" si="54"/>
        <v>0</v>
      </c>
      <c r="Q81" s="115" t="e">
        <f>N81/N83</f>
        <v>#DIV/0!</v>
      </c>
      <c r="R81" s="90">
        <f>P81/K$166</f>
        <v>0</v>
      </c>
      <c r="S81" s="1"/>
      <c r="U81"/>
      <c r="V81"/>
      <c r="W81"/>
    </row>
    <row r="82" spans="1:23" s="5" customFormat="1" hidden="1" x14ac:dyDescent="0.2">
      <c r="A82" s="92"/>
      <c r="B82" s="105" t="s">
        <v>47</v>
      </c>
      <c r="C82" s="112"/>
      <c r="D82" s="134"/>
      <c r="E82" s="81"/>
      <c r="F82" s="82"/>
      <c r="G82" s="135">
        <f t="shared" si="52"/>
        <v>0</v>
      </c>
      <c r="H82" s="84"/>
      <c r="I82" s="82"/>
      <c r="J82" s="85"/>
      <c r="K82" s="82"/>
      <c r="L82" s="82"/>
      <c r="M82" s="82"/>
      <c r="N82" s="93">
        <f t="shared" si="53"/>
        <v>0</v>
      </c>
      <c r="O82" s="87">
        <v>150</v>
      </c>
      <c r="P82" s="114">
        <f t="shared" si="54"/>
        <v>0</v>
      </c>
      <c r="Q82" s="115" t="e">
        <f>N82/N83</f>
        <v>#DIV/0!</v>
      </c>
      <c r="R82" s="90">
        <f>P82/K$166</f>
        <v>0</v>
      </c>
      <c r="S82" s="1"/>
      <c r="U82"/>
      <c r="V82"/>
      <c r="W82"/>
    </row>
    <row r="83" spans="1:23" hidden="1" x14ac:dyDescent="0.2">
      <c r="A83" s="94" t="s">
        <v>49</v>
      </c>
      <c r="B83" s="95"/>
      <c r="C83" s="100">
        <f t="shared" ref="C83:N83" si="55">SUM(C78:C82)</f>
        <v>0</v>
      </c>
      <c r="D83" s="97">
        <f t="shared" si="55"/>
        <v>0</v>
      </c>
      <c r="E83" s="98">
        <f t="shared" si="55"/>
        <v>0</v>
      </c>
      <c r="F83" s="99">
        <f t="shared" si="55"/>
        <v>0</v>
      </c>
      <c r="G83" s="121">
        <f t="shared" si="55"/>
        <v>0</v>
      </c>
      <c r="H83" s="100">
        <f t="shared" si="55"/>
        <v>0</v>
      </c>
      <c r="I83" s="99">
        <f t="shared" si="55"/>
        <v>0</v>
      </c>
      <c r="J83" s="99">
        <f t="shared" si="55"/>
        <v>0</v>
      </c>
      <c r="K83" s="99">
        <f t="shared" si="55"/>
        <v>0</v>
      </c>
      <c r="L83" s="99">
        <f t="shared" si="55"/>
        <v>0</v>
      </c>
      <c r="M83" s="99">
        <f t="shared" si="55"/>
        <v>0</v>
      </c>
      <c r="N83" s="117">
        <f t="shared" si="55"/>
        <v>0</v>
      </c>
      <c r="O83" s="87">
        <v>150</v>
      </c>
      <c r="P83" s="101">
        <f>SUM(P78:P82)</f>
        <v>0</v>
      </c>
      <c r="Q83" s="102" t="e">
        <f>SUM(Q78:Q82)</f>
        <v>#DIV/0!</v>
      </c>
      <c r="R83" s="111">
        <f>SUM(R78:R82)</f>
        <v>0</v>
      </c>
      <c r="S83" s="1"/>
    </row>
    <row r="84" spans="1:23" hidden="1" x14ac:dyDescent="0.2">
      <c r="A84" s="104"/>
      <c r="B84" s="105" t="s">
        <v>43</v>
      </c>
      <c r="C84" s="128"/>
      <c r="D84" s="134"/>
      <c r="E84" s="81"/>
      <c r="F84" s="82"/>
      <c r="G84" s="135">
        <f t="shared" ref="G84:G88" si="56">(C84+D84+F84)-E84</f>
        <v>0</v>
      </c>
      <c r="H84" s="84"/>
      <c r="I84" s="82"/>
      <c r="J84" s="85"/>
      <c r="K84" s="82"/>
      <c r="L84" s="82"/>
      <c r="M84" s="82"/>
      <c r="N84" s="93">
        <f t="shared" ref="N84:N88" si="57">G84-SUM(H84:M84)</f>
        <v>0</v>
      </c>
      <c r="O84" s="87">
        <v>100</v>
      </c>
      <c r="P84" s="88">
        <f t="shared" ref="P84:P88" si="58">N84*O84</f>
        <v>0</v>
      </c>
      <c r="Q84" s="89" t="e">
        <f>N84/N89</f>
        <v>#DIV/0!</v>
      </c>
      <c r="R84" s="90">
        <f>P84/K$166</f>
        <v>0</v>
      </c>
      <c r="S84" s="1"/>
    </row>
    <row r="85" spans="1:23" hidden="1" x14ac:dyDescent="0.2">
      <c r="A85" s="91"/>
      <c r="B85" s="105" t="s">
        <v>44</v>
      </c>
      <c r="C85" s="84"/>
      <c r="D85" s="134"/>
      <c r="E85" s="81"/>
      <c r="F85" s="82"/>
      <c r="G85" s="135">
        <f t="shared" si="56"/>
        <v>0</v>
      </c>
      <c r="H85" s="84"/>
      <c r="I85" s="82"/>
      <c r="J85" s="85"/>
      <c r="K85" s="82"/>
      <c r="L85" s="82"/>
      <c r="M85" s="82"/>
      <c r="N85" s="93">
        <f t="shared" si="57"/>
        <v>0</v>
      </c>
      <c r="O85" s="87">
        <v>100</v>
      </c>
      <c r="P85" s="88">
        <f t="shared" si="58"/>
        <v>0</v>
      </c>
      <c r="Q85" s="89" t="e">
        <f>N85/N89</f>
        <v>#DIV/0!</v>
      </c>
      <c r="R85" s="90">
        <f>P85/K$166</f>
        <v>0</v>
      </c>
      <c r="S85" s="1"/>
    </row>
    <row r="86" spans="1:23" hidden="1" x14ac:dyDescent="0.2">
      <c r="A86" s="141"/>
      <c r="B86" s="105" t="s">
        <v>45</v>
      </c>
      <c r="C86" s="84"/>
      <c r="D86" s="134"/>
      <c r="E86" s="81"/>
      <c r="F86" s="82"/>
      <c r="G86" s="135">
        <f t="shared" si="56"/>
        <v>0</v>
      </c>
      <c r="H86" s="84"/>
      <c r="I86" s="82"/>
      <c r="J86" s="85"/>
      <c r="K86" s="82"/>
      <c r="L86" s="82"/>
      <c r="M86" s="82"/>
      <c r="N86" s="93">
        <f t="shared" si="57"/>
        <v>0</v>
      </c>
      <c r="O86" s="87">
        <v>100</v>
      </c>
      <c r="P86" s="88">
        <f t="shared" si="58"/>
        <v>0</v>
      </c>
      <c r="Q86" s="89" t="e">
        <f>N86/N89</f>
        <v>#DIV/0!</v>
      </c>
      <c r="R86" s="90">
        <f>P86/K$166</f>
        <v>0</v>
      </c>
      <c r="S86" s="1"/>
    </row>
    <row r="87" spans="1:23" hidden="1" x14ac:dyDescent="0.2">
      <c r="A87" s="92"/>
      <c r="B87" s="105" t="s">
        <v>46</v>
      </c>
      <c r="C87" s="84"/>
      <c r="D87" s="134"/>
      <c r="E87" s="81"/>
      <c r="F87" s="82"/>
      <c r="G87" s="135">
        <f t="shared" si="56"/>
        <v>0</v>
      </c>
      <c r="H87" s="84"/>
      <c r="I87" s="82"/>
      <c r="J87" s="85"/>
      <c r="K87" s="82"/>
      <c r="L87" s="82"/>
      <c r="M87" s="82"/>
      <c r="N87" s="93">
        <f t="shared" si="57"/>
        <v>0</v>
      </c>
      <c r="O87" s="87">
        <v>100</v>
      </c>
      <c r="P87" s="88">
        <f t="shared" si="58"/>
        <v>0</v>
      </c>
      <c r="Q87" s="89" t="e">
        <f>N87/N89</f>
        <v>#DIV/0!</v>
      </c>
      <c r="R87" s="90">
        <f>P87/K$166</f>
        <v>0</v>
      </c>
      <c r="S87" s="1"/>
    </row>
    <row r="88" spans="1:23" hidden="1" x14ac:dyDescent="0.2">
      <c r="A88" s="92"/>
      <c r="B88" s="105" t="s">
        <v>47</v>
      </c>
      <c r="C88" s="84"/>
      <c r="D88" s="134"/>
      <c r="E88" s="81"/>
      <c r="F88" s="82"/>
      <c r="G88" s="135">
        <f t="shared" si="56"/>
        <v>0</v>
      </c>
      <c r="H88" s="84"/>
      <c r="I88" s="82"/>
      <c r="J88" s="85"/>
      <c r="K88" s="82"/>
      <c r="L88" s="82"/>
      <c r="M88" s="82"/>
      <c r="N88" s="93">
        <f t="shared" si="57"/>
        <v>0</v>
      </c>
      <c r="O88" s="87">
        <v>100</v>
      </c>
      <c r="P88" s="88">
        <f t="shared" si="58"/>
        <v>0</v>
      </c>
      <c r="Q88" s="89" t="e">
        <f>N88/N89</f>
        <v>#DIV/0!</v>
      </c>
      <c r="R88" s="90">
        <f>P88/K$166</f>
        <v>0</v>
      </c>
      <c r="S88" s="1"/>
    </row>
    <row r="89" spans="1:23" hidden="1" x14ac:dyDescent="0.2">
      <c r="A89" s="94" t="s">
        <v>49</v>
      </c>
      <c r="B89" s="95"/>
      <c r="C89" s="100">
        <f t="shared" ref="C89:N89" si="59">SUM(C84:C88)</f>
        <v>0</v>
      </c>
      <c r="D89" s="97">
        <f t="shared" si="59"/>
        <v>0</v>
      </c>
      <c r="E89" s="98">
        <f t="shared" si="59"/>
        <v>0</v>
      </c>
      <c r="F89" s="99">
        <f t="shared" si="59"/>
        <v>0</v>
      </c>
      <c r="G89" s="121">
        <f t="shared" si="59"/>
        <v>0</v>
      </c>
      <c r="H89" s="100">
        <f t="shared" si="59"/>
        <v>0</v>
      </c>
      <c r="I89" s="99">
        <f t="shared" si="59"/>
        <v>0</v>
      </c>
      <c r="J89" s="99">
        <f t="shared" si="59"/>
        <v>0</v>
      </c>
      <c r="K89" s="99">
        <f t="shared" si="59"/>
        <v>0</v>
      </c>
      <c r="L89" s="99">
        <f t="shared" si="59"/>
        <v>0</v>
      </c>
      <c r="M89" s="99">
        <f t="shared" si="59"/>
        <v>0</v>
      </c>
      <c r="N89" s="117">
        <f t="shared" si="59"/>
        <v>0</v>
      </c>
      <c r="O89" s="87">
        <v>100</v>
      </c>
      <c r="P89" s="118">
        <f>SUM(P84:P88)</f>
        <v>0</v>
      </c>
      <c r="Q89" s="119" t="e">
        <f>SUM(Q84:Q88)</f>
        <v>#DIV/0!</v>
      </c>
      <c r="R89" s="111">
        <f>SUM(R84:R88)</f>
        <v>0</v>
      </c>
      <c r="S89" s="1"/>
      <c r="W89" s="142"/>
    </row>
    <row r="90" spans="1:23" hidden="1" x14ac:dyDescent="0.2">
      <c r="A90" s="136"/>
      <c r="B90" s="105" t="s">
        <v>52</v>
      </c>
      <c r="C90" s="84"/>
      <c r="D90" s="134"/>
      <c r="E90" s="81"/>
      <c r="F90" s="82"/>
      <c r="G90" s="135">
        <f t="shared" ref="G90:G95" si="60">(C90+D90+F90)-E90</f>
        <v>0</v>
      </c>
      <c r="H90" s="84"/>
      <c r="I90" s="82"/>
      <c r="J90" s="85"/>
      <c r="K90" s="82"/>
      <c r="L90" s="82"/>
      <c r="M90" s="82"/>
      <c r="N90" s="86">
        <f t="shared" ref="N90:N95" si="61">G90-SUM(H90:M90)</f>
        <v>0</v>
      </c>
      <c r="O90" s="87">
        <v>125</v>
      </c>
      <c r="P90" s="88">
        <f t="shared" ref="P90:P95" si="62">N90*O90</f>
        <v>0</v>
      </c>
      <c r="Q90" s="89" t="e">
        <f>N90/N96</f>
        <v>#DIV/0!</v>
      </c>
      <c r="R90" s="90">
        <f t="shared" ref="R90:R95" si="63">P90/K$166</f>
        <v>0</v>
      </c>
      <c r="S90" s="1"/>
      <c r="W90" s="76"/>
    </row>
    <row r="91" spans="1:23" hidden="1" x14ac:dyDescent="0.2">
      <c r="A91" s="143"/>
      <c r="B91" s="105" t="s">
        <v>43</v>
      </c>
      <c r="C91" s="84"/>
      <c r="D91" s="134"/>
      <c r="E91" s="81"/>
      <c r="F91" s="82"/>
      <c r="G91" s="135">
        <f t="shared" si="60"/>
        <v>0</v>
      </c>
      <c r="H91" s="84"/>
      <c r="I91" s="82"/>
      <c r="J91" s="85"/>
      <c r="K91" s="82"/>
      <c r="L91" s="82"/>
      <c r="M91" s="82"/>
      <c r="N91" s="86">
        <f t="shared" si="61"/>
        <v>0</v>
      </c>
      <c r="O91" s="87">
        <v>125</v>
      </c>
      <c r="P91" s="88">
        <f t="shared" si="62"/>
        <v>0</v>
      </c>
      <c r="Q91" s="89" t="e">
        <f>N91/N96</f>
        <v>#DIV/0!</v>
      </c>
      <c r="R91" s="90">
        <f t="shared" si="63"/>
        <v>0</v>
      </c>
      <c r="S91" s="1"/>
      <c r="W91" s="76"/>
    </row>
    <row r="92" spans="1:23" hidden="1" x14ac:dyDescent="0.2">
      <c r="A92" s="139"/>
      <c r="B92" s="105" t="s">
        <v>44</v>
      </c>
      <c r="C92" s="84"/>
      <c r="D92" s="134"/>
      <c r="E92" s="81"/>
      <c r="F92" s="82"/>
      <c r="G92" s="135">
        <f t="shared" si="60"/>
        <v>0</v>
      </c>
      <c r="H92" s="84"/>
      <c r="I92" s="82"/>
      <c r="J92" s="85"/>
      <c r="K92" s="82"/>
      <c r="L92" s="82"/>
      <c r="M92" s="82"/>
      <c r="N92" s="86">
        <f t="shared" si="61"/>
        <v>0</v>
      </c>
      <c r="O92" s="87">
        <v>125</v>
      </c>
      <c r="P92" s="88">
        <f t="shared" si="62"/>
        <v>0</v>
      </c>
      <c r="Q92" s="89" t="e">
        <f>N92/N96</f>
        <v>#DIV/0!</v>
      </c>
      <c r="R92" s="90">
        <f t="shared" si="63"/>
        <v>0</v>
      </c>
      <c r="S92" s="1"/>
      <c r="W92" s="76"/>
    </row>
    <row r="93" spans="1:23" hidden="1" x14ac:dyDescent="0.2">
      <c r="A93" s="139"/>
      <c r="B93" s="105" t="s">
        <v>45</v>
      </c>
      <c r="C93" s="84"/>
      <c r="D93" s="134"/>
      <c r="E93" s="81"/>
      <c r="F93" s="82"/>
      <c r="G93" s="135">
        <f t="shared" si="60"/>
        <v>0</v>
      </c>
      <c r="H93" s="84"/>
      <c r="I93" s="82"/>
      <c r="J93" s="85"/>
      <c r="K93" s="82"/>
      <c r="L93" s="82"/>
      <c r="M93" s="82"/>
      <c r="N93" s="86">
        <f t="shared" si="61"/>
        <v>0</v>
      </c>
      <c r="O93" s="87">
        <v>125</v>
      </c>
      <c r="P93" s="88">
        <f t="shared" si="62"/>
        <v>0</v>
      </c>
      <c r="Q93" s="89" t="e">
        <f>N93/N96</f>
        <v>#DIV/0!</v>
      </c>
      <c r="R93" s="90">
        <f t="shared" si="63"/>
        <v>0</v>
      </c>
      <c r="S93" s="1"/>
      <c r="W93" s="76"/>
    </row>
    <row r="94" spans="1:23" hidden="1" x14ac:dyDescent="0.2">
      <c r="A94" s="139"/>
      <c r="B94" s="105" t="s">
        <v>46</v>
      </c>
      <c r="C94" s="84"/>
      <c r="D94" s="134"/>
      <c r="E94" s="81"/>
      <c r="F94" s="82"/>
      <c r="G94" s="135">
        <f t="shared" si="60"/>
        <v>0</v>
      </c>
      <c r="H94" s="84"/>
      <c r="I94" s="82"/>
      <c r="J94" s="85"/>
      <c r="K94" s="82"/>
      <c r="L94" s="82"/>
      <c r="M94" s="82"/>
      <c r="N94" s="86">
        <f t="shared" si="61"/>
        <v>0</v>
      </c>
      <c r="O94" s="87">
        <v>125</v>
      </c>
      <c r="P94" s="88">
        <f t="shared" si="62"/>
        <v>0</v>
      </c>
      <c r="Q94" s="89" t="e">
        <f>N94/N96</f>
        <v>#DIV/0!</v>
      </c>
      <c r="R94" s="90">
        <f t="shared" si="63"/>
        <v>0</v>
      </c>
      <c r="S94" s="1"/>
      <c r="W94" s="76"/>
    </row>
    <row r="95" spans="1:23" hidden="1" x14ac:dyDescent="0.2">
      <c r="A95" s="139"/>
      <c r="B95" s="105" t="s">
        <v>47</v>
      </c>
      <c r="C95" s="84"/>
      <c r="D95" s="134"/>
      <c r="E95" s="81"/>
      <c r="F95" s="82"/>
      <c r="G95" s="135">
        <f t="shared" si="60"/>
        <v>0</v>
      </c>
      <c r="H95" s="84"/>
      <c r="I95" s="82"/>
      <c r="J95" s="85"/>
      <c r="K95" s="82"/>
      <c r="L95" s="82"/>
      <c r="M95" s="82"/>
      <c r="N95" s="86">
        <f t="shared" si="61"/>
        <v>0</v>
      </c>
      <c r="O95" s="87">
        <v>125</v>
      </c>
      <c r="P95" s="88">
        <f t="shared" si="62"/>
        <v>0</v>
      </c>
      <c r="Q95" s="89" t="e">
        <f>N95/N96</f>
        <v>#DIV/0!</v>
      </c>
      <c r="R95" s="90">
        <f t="shared" si="63"/>
        <v>0</v>
      </c>
      <c r="S95" s="1"/>
      <c r="W95" s="76"/>
    </row>
    <row r="96" spans="1:23" hidden="1" x14ac:dyDescent="0.2">
      <c r="A96" s="140" t="s">
        <v>49</v>
      </c>
      <c r="B96" s="95"/>
      <c r="C96" s="100">
        <f>SUM(C90:C95)</f>
        <v>0</v>
      </c>
      <c r="D96" s="97">
        <f t="shared" ref="D96:M96" si="64">SUM(D90:D94)</f>
        <v>0</v>
      </c>
      <c r="E96" s="98">
        <f t="shared" si="64"/>
        <v>0</v>
      </c>
      <c r="F96" s="99">
        <f t="shared" si="64"/>
        <v>0</v>
      </c>
      <c r="G96" s="121">
        <f>SUM(G90:G95)</f>
        <v>0</v>
      </c>
      <c r="H96" s="100">
        <f t="shared" si="64"/>
        <v>0</v>
      </c>
      <c r="I96" s="99">
        <f t="shared" si="64"/>
        <v>0</v>
      </c>
      <c r="J96" s="99">
        <f t="shared" si="64"/>
        <v>0</v>
      </c>
      <c r="K96" s="99">
        <f t="shared" si="64"/>
        <v>0</v>
      </c>
      <c r="L96" s="99">
        <f t="shared" si="64"/>
        <v>0</v>
      </c>
      <c r="M96" s="99">
        <f t="shared" si="64"/>
        <v>0</v>
      </c>
      <c r="N96" s="99">
        <f>SUM(N90:N95)</f>
        <v>0</v>
      </c>
      <c r="O96" s="87">
        <v>125</v>
      </c>
      <c r="P96" s="144">
        <f t="shared" ref="P96:R96" si="65">SUM(P90:P95)</f>
        <v>0</v>
      </c>
      <c r="Q96" s="145" t="e">
        <f t="shared" si="65"/>
        <v>#DIV/0!</v>
      </c>
      <c r="R96" s="146">
        <f t="shared" si="65"/>
        <v>0</v>
      </c>
      <c r="S96" s="1"/>
      <c r="W96" s="142"/>
    </row>
    <row r="97" spans="1:23" s="5" customFormat="1" hidden="1" x14ac:dyDescent="0.2">
      <c r="A97" s="104"/>
      <c r="B97" s="105" t="s">
        <v>43</v>
      </c>
      <c r="C97" s="112"/>
      <c r="D97" s="80"/>
      <c r="E97" s="81"/>
      <c r="F97" s="83"/>
      <c r="G97" s="83">
        <f t="shared" ref="G97:G101" si="66">(C97+D97+F97)-E97</f>
        <v>0</v>
      </c>
      <c r="H97" s="84"/>
      <c r="I97" s="82"/>
      <c r="J97" s="85"/>
      <c r="K97" s="82"/>
      <c r="L97" s="82"/>
      <c r="M97" s="82"/>
      <c r="N97" s="86">
        <f t="shared" ref="N97:N101" si="67">G97-SUM(H97:M97)</f>
        <v>0</v>
      </c>
      <c r="O97" s="87">
        <v>150</v>
      </c>
      <c r="P97" s="88">
        <f t="shared" ref="P97:P101" si="68">N97*O97</f>
        <v>0</v>
      </c>
      <c r="Q97" s="89" t="e">
        <f>N97/N102</f>
        <v>#DIV/0!</v>
      </c>
      <c r="R97" s="90">
        <f>P97/K$166</f>
        <v>0</v>
      </c>
      <c r="S97" s="1"/>
      <c r="U97"/>
      <c r="V97"/>
      <c r="W97"/>
    </row>
    <row r="98" spans="1:23" s="5" customFormat="1" hidden="1" x14ac:dyDescent="0.2">
      <c r="A98" s="107"/>
      <c r="B98" s="105" t="s">
        <v>44</v>
      </c>
      <c r="C98" s="112"/>
      <c r="D98" s="80"/>
      <c r="E98" s="81"/>
      <c r="F98" s="83"/>
      <c r="G98" s="83">
        <f t="shared" si="66"/>
        <v>0</v>
      </c>
      <c r="H98" s="84"/>
      <c r="I98" s="82"/>
      <c r="J98" s="85"/>
      <c r="K98" s="82"/>
      <c r="L98" s="82"/>
      <c r="M98" s="82"/>
      <c r="N98" s="86">
        <f t="shared" si="67"/>
        <v>0</v>
      </c>
      <c r="O98" s="87">
        <v>150</v>
      </c>
      <c r="P98" s="88">
        <f t="shared" si="68"/>
        <v>0</v>
      </c>
      <c r="Q98" s="89" t="e">
        <f>N98/N102</f>
        <v>#DIV/0!</v>
      </c>
      <c r="R98" s="90">
        <f>P98/K$166</f>
        <v>0</v>
      </c>
      <c r="S98" s="1"/>
      <c r="U98"/>
      <c r="V98"/>
      <c r="W98"/>
    </row>
    <row r="99" spans="1:23" s="5" customFormat="1" hidden="1" x14ac:dyDescent="0.2">
      <c r="A99" s="92"/>
      <c r="B99" s="105" t="s">
        <v>45</v>
      </c>
      <c r="C99" s="112"/>
      <c r="D99" s="80"/>
      <c r="E99" s="81"/>
      <c r="F99" s="83"/>
      <c r="G99" s="83">
        <f t="shared" si="66"/>
        <v>0</v>
      </c>
      <c r="H99" s="84"/>
      <c r="I99" s="82"/>
      <c r="J99" s="85"/>
      <c r="K99" s="82"/>
      <c r="L99" s="82"/>
      <c r="M99" s="82"/>
      <c r="N99" s="86">
        <f t="shared" si="67"/>
        <v>0</v>
      </c>
      <c r="O99" s="87">
        <v>150</v>
      </c>
      <c r="P99" s="88">
        <f t="shared" si="68"/>
        <v>0</v>
      </c>
      <c r="Q99" s="89" t="e">
        <f>N99/N102</f>
        <v>#DIV/0!</v>
      </c>
      <c r="R99" s="90">
        <f>P99/K$166</f>
        <v>0</v>
      </c>
      <c r="S99" s="1"/>
      <c r="U99"/>
      <c r="V99"/>
      <c r="W99"/>
    </row>
    <row r="100" spans="1:23" s="5" customFormat="1" hidden="1" x14ac:dyDescent="0.2">
      <c r="A100" s="92"/>
      <c r="B100" s="105" t="s">
        <v>46</v>
      </c>
      <c r="C100" s="112"/>
      <c r="D100" s="80"/>
      <c r="E100" s="81"/>
      <c r="F100" s="83"/>
      <c r="G100" s="83">
        <f t="shared" si="66"/>
        <v>0</v>
      </c>
      <c r="H100" s="84"/>
      <c r="I100" s="82"/>
      <c r="J100" s="85"/>
      <c r="K100" s="82"/>
      <c r="L100" s="82"/>
      <c r="M100" s="82"/>
      <c r="N100" s="93">
        <f t="shared" si="67"/>
        <v>0</v>
      </c>
      <c r="O100" s="87">
        <v>150</v>
      </c>
      <c r="P100" s="114">
        <f t="shared" si="68"/>
        <v>0</v>
      </c>
      <c r="Q100" s="115" t="e">
        <f>N100/N102</f>
        <v>#DIV/0!</v>
      </c>
      <c r="R100" s="90">
        <f>P100/K$166</f>
        <v>0</v>
      </c>
      <c r="S100" s="1"/>
      <c r="U100"/>
      <c r="V100"/>
      <c r="W100"/>
    </row>
    <row r="101" spans="1:23" s="5" customFormat="1" hidden="1" x14ac:dyDescent="0.2">
      <c r="A101" s="92"/>
      <c r="B101" s="105" t="s">
        <v>47</v>
      </c>
      <c r="C101" s="112"/>
      <c r="D101" s="80"/>
      <c r="E101" s="81"/>
      <c r="F101" s="83"/>
      <c r="G101" s="83">
        <f t="shared" si="66"/>
        <v>0</v>
      </c>
      <c r="H101" s="84"/>
      <c r="I101" s="82"/>
      <c r="J101" s="85"/>
      <c r="K101" s="82"/>
      <c r="L101" s="82"/>
      <c r="M101" s="82"/>
      <c r="N101" s="93">
        <f t="shared" si="67"/>
        <v>0</v>
      </c>
      <c r="O101" s="87">
        <v>150</v>
      </c>
      <c r="P101" s="114">
        <f t="shared" si="68"/>
        <v>0</v>
      </c>
      <c r="Q101" s="115" t="e">
        <f>N101/N102</f>
        <v>#DIV/0!</v>
      </c>
      <c r="R101" s="90">
        <f>P101/K$166</f>
        <v>0</v>
      </c>
      <c r="S101" s="1"/>
      <c r="U101"/>
      <c r="V101"/>
      <c r="W101"/>
    </row>
    <row r="102" spans="1:23" s="5" customFormat="1" hidden="1" x14ac:dyDescent="0.2">
      <c r="A102" s="94" t="s">
        <v>49</v>
      </c>
      <c r="B102" s="95"/>
      <c r="C102" s="116">
        <f t="shared" ref="C102:N102" si="69">SUM(C97:C101)</f>
        <v>0</v>
      </c>
      <c r="D102" s="97">
        <f t="shared" si="69"/>
        <v>0</v>
      </c>
      <c r="E102" s="98">
        <f t="shared" si="69"/>
        <v>0</v>
      </c>
      <c r="F102" s="109">
        <f t="shared" si="69"/>
        <v>0</v>
      </c>
      <c r="G102" s="109">
        <f t="shared" si="69"/>
        <v>0</v>
      </c>
      <c r="H102" s="100">
        <f t="shared" si="69"/>
        <v>0</v>
      </c>
      <c r="I102" s="99">
        <f t="shared" si="69"/>
        <v>0</v>
      </c>
      <c r="J102" s="99">
        <f t="shared" si="69"/>
        <v>0</v>
      </c>
      <c r="K102" s="99">
        <f t="shared" si="69"/>
        <v>0</v>
      </c>
      <c r="L102" s="99">
        <f t="shared" si="69"/>
        <v>0</v>
      </c>
      <c r="M102" s="99">
        <f t="shared" si="69"/>
        <v>0</v>
      </c>
      <c r="N102" s="117">
        <f t="shared" si="69"/>
        <v>0</v>
      </c>
      <c r="O102" s="87">
        <v>150</v>
      </c>
      <c r="P102" s="118">
        <f>SUM(P97:P101)</f>
        <v>0</v>
      </c>
      <c r="Q102" s="119" t="e">
        <f>SUM(Q97:Q101)</f>
        <v>#DIV/0!</v>
      </c>
      <c r="R102" s="111">
        <f>SUM(R97:R101)</f>
        <v>0</v>
      </c>
      <c r="S102" s="1"/>
      <c r="U102"/>
      <c r="V102"/>
      <c r="W102"/>
    </row>
    <row r="103" spans="1:23" s="5" customFormat="1" hidden="1" x14ac:dyDescent="0.2">
      <c r="A103" s="104"/>
      <c r="B103" s="105" t="s">
        <v>43</v>
      </c>
      <c r="C103" s="112"/>
      <c r="D103" s="80"/>
      <c r="E103" s="81"/>
      <c r="F103" s="82"/>
      <c r="G103" s="83">
        <f t="shared" ref="G103:G107" si="70">(C103+D103+F103)-E103</f>
        <v>0</v>
      </c>
      <c r="H103" s="84"/>
      <c r="I103" s="82"/>
      <c r="J103" s="85"/>
      <c r="K103" s="82"/>
      <c r="L103" s="82"/>
      <c r="M103" s="82"/>
      <c r="N103" s="93">
        <f t="shared" ref="N103:N107" si="71">G103-SUM(H103:M103)</f>
        <v>0</v>
      </c>
      <c r="O103" s="87">
        <v>175</v>
      </c>
      <c r="P103" s="114">
        <f t="shared" ref="P103:P107" si="72">N103*O103</f>
        <v>0</v>
      </c>
      <c r="Q103" s="115" t="e">
        <f>N103/N108</f>
        <v>#DIV/0!</v>
      </c>
      <c r="R103" s="90">
        <f>P103/K$166</f>
        <v>0</v>
      </c>
      <c r="S103" s="1"/>
      <c r="U103"/>
      <c r="V103"/>
      <c r="W103"/>
    </row>
    <row r="104" spans="1:23" s="5" customFormat="1" hidden="1" x14ac:dyDescent="0.2">
      <c r="A104" s="107"/>
      <c r="B104" s="105" t="s">
        <v>44</v>
      </c>
      <c r="C104" s="112"/>
      <c r="D104" s="80"/>
      <c r="E104" s="81"/>
      <c r="F104" s="82"/>
      <c r="G104" s="83">
        <f t="shared" si="70"/>
        <v>0</v>
      </c>
      <c r="H104" s="84"/>
      <c r="I104" s="82"/>
      <c r="J104" s="85"/>
      <c r="K104" s="82"/>
      <c r="L104" s="82"/>
      <c r="M104" s="82"/>
      <c r="N104" s="93">
        <f t="shared" si="71"/>
        <v>0</v>
      </c>
      <c r="O104" s="87">
        <v>175</v>
      </c>
      <c r="P104" s="114">
        <f t="shared" si="72"/>
        <v>0</v>
      </c>
      <c r="Q104" s="115" t="e">
        <f>N104/N108</f>
        <v>#DIV/0!</v>
      </c>
      <c r="R104" s="90">
        <f>P104/K$166</f>
        <v>0</v>
      </c>
      <c r="S104" s="1"/>
      <c r="U104"/>
      <c r="V104"/>
      <c r="W104"/>
    </row>
    <row r="105" spans="1:23" s="5" customFormat="1" hidden="1" x14ac:dyDescent="0.2">
      <c r="A105" s="91"/>
      <c r="B105" s="105" t="s">
        <v>45</v>
      </c>
      <c r="C105" s="112"/>
      <c r="D105" s="80"/>
      <c r="E105" s="81"/>
      <c r="F105" s="82"/>
      <c r="G105" s="83">
        <f t="shared" si="70"/>
        <v>0</v>
      </c>
      <c r="H105" s="84"/>
      <c r="I105" s="82"/>
      <c r="J105" s="85"/>
      <c r="K105" s="82"/>
      <c r="L105" s="82"/>
      <c r="M105" s="82"/>
      <c r="N105" s="93">
        <f t="shared" si="71"/>
        <v>0</v>
      </c>
      <c r="O105" s="87">
        <v>175</v>
      </c>
      <c r="P105" s="114">
        <f t="shared" si="72"/>
        <v>0</v>
      </c>
      <c r="Q105" s="115" t="e">
        <f>N105/N108</f>
        <v>#DIV/0!</v>
      </c>
      <c r="R105" s="90">
        <f>P105/K$166</f>
        <v>0</v>
      </c>
      <c r="S105" s="1"/>
      <c r="U105"/>
      <c r="V105"/>
      <c r="W105"/>
    </row>
    <row r="106" spans="1:23" s="5" customFormat="1" hidden="1" x14ac:dyDescent="0.2">
      <c r="A106" s="92"/>
      <c r="B106" s="105" t="s">
        <v>46</v>
      </c>
      <c r="C106" s="112"/>
      <c r="D106" s="80"/>
      <c r="E106" s="81"/>
      <c r="F106" s="82"/>
      <c r="G106" s="83">
        <f t="shared" si="70"/>
        <v>0</v>
      </c>
      <c r="H106" s="84"/>
      <c r="I106" s="82"/>
      <c r="J106" s="85"/>
      <c r="K106" s="82"/>
      <c r="L106" s="82"/>
      <c r="M106" s="82"/>
      <c r="N106" s="93">
        <f t="shared" si="71"/>
        <v>0</v>
      </c>
      <c r="O106" s="87">
        <v>175</v>
      </c>
      <c r="P106" s="114">
        <f t="shared" si="72"/>
        <v>0</v>
      </c>
      <c r="Q106" s="115" t="e">
        <f>N106/N108</f>
        <v>#DIV/0!</v>
      </c>
      <c r="R106" s="90">
        <f>P106/K$166</f>
        <v>0</v>
      </c>
      <c r="S106" s="1"/>
      <c r="U106"/>
      <c r="V106"/>
      <c r="W106"/>
    </row>
    <row r="107" spans="1:23" s="5" customFormat="1" hidden="1" x14ac:dyDescent="0.2">
      <c r="A107" s="92"/>
      <c r="B107" s="105" t="s">
        <v>47</v>
      </c>
      <c r="C107" s="112"/>
      <c r="D107" s="80"/>
      <c r="E107" s="81"/>
      <c r="F107" s="82"/>
      <c r="G107" s="83">
        <f t="shared" si="70"/>
        <v>0</v>
      </c>
      <c r="H107" s="84"/>
      <c r="I107" s="82"/>
      <c r="J107" s="85"/>
      <c r="K107" s="82"/>
      <c r="L107" s="82"/>
      <c r="M107" s="82"/>
      <c r="N107" s="93">
        <f t="shared" si="71"/>
        <v>0</v>
      </c>
      <c r="O107" s="87">
        <v>175</v>
      </c>
      <c r="P107" s="114">
        <f t="shared" si="72"/>
        <v>0</v>
      </c>
      <c r="Q107" s="115" t="e">
        <f>N107/N108</f>
        <v>#DIV/0!</v>
      </c>
      <c r="R107" s="90">
        <f>P107/K$166</f>
        <v>0</v>
      </c>
      <c r="S107" s="1"/>
      <c r="U107"/>
      <c r="V107"/>
      <c r="W107"/>
    </row>
    <row r="108" spans="1:23" s="5" customFormat="1" hidden="1" x14ac:dyDescent="0.2">
      <c r="A108" s="94" t="s">
        <v>49</v>
      </c>
      <c r="B108" s="95"/>
      <c r="C108" s="100">
        <f t="shared" ref="C108:N108" si="73">SUM(C103:C107)</f>
        <v>0</v>
      </c>
      <c r="D108" s="97">
        <f t="shared" si="73"/>
        <v>0</v>
      </c>
      <c r="E108" s="98">
        <f t="shared" si="73"/>
        <v>0</v>
      </c>
      <c r="F108" s="99">
        <f t="shared" si="73"/>
        <v>0</v>
      </c>
      <c r="G108" s="121">
        <f t="shared" si="73"/>
        <v>0</v>
      </c>
      <c r="H108" s="100">
        <f t="shared" si="73"/>
        <v>0</v>
      </c>
      <c r="I108" s="99">
        <f t="shared" si="73"/>
        <v>0</v>
      </c>
      <c r="J108" s="99">
        <f t="shared" si="73"/>
        <v>0</v>
      </c>
      <c r="K108" s="99">
        <f t="shared" si="73"/>
        <v>0</v>
      </c>
      <c r="L108" s="99">
        <f t="shared" si="73"/>
        <v>0</v>
      </c>
      <c r="M108" s="99">
        <f t="shared" si="73"/>
        <v>0</v>
      </c>
      <c r="N108" s="117">
        <f t="shared" si="73"/>
        <v>0</v>
      </c>
      <c r="O108" s="87">
        <v>175</v>
      </c>
      <c r="P108" s="118">
        <f>SUM(P103:P107)</f>
        <v>0</v>
      </c>
      <c r="Q108" s="119" t="e">
        <f>SUM(Q103:Q107)</f>
        <v>#DIV/0!</v>
      </c>
      <c r="R108" s="111">
        <f>SUM(R103:R107)</f>
        <v>0</v>
      </c>
      <c r="S108" s="1"/>
      <c r="U108"/>
      <c r="V108"/>
      <c r="W108"/>
    </row>
    <row r="109" spans="1:23" s="5" customFormat="1" hidden="1" x14ac:dyDescent="0.2">
      <c r="A109" s="122"/>
      <c r="B109" s="123" t="s">
        <v>43</v>
      </c>
      <c r="C109" s="112"/>
      <c r="D109" s="124"/>
      <c r="E109" s="125"/>
      <c r="F109" s="126"/>
      <c r="G109" s="127">
        <f t="shared" ref="G109:G114" si="74">(C109+D109+F109)-E109</f>
        <v>0</v>
      </c>
      <c r="H109" s="128"/>
      <c r="I109" s="126"/>
      <c r="J109" s="129"/>
      <c r="K109" s="126"/>
      <c r="L109" s="126"/>
      <c r="M109" s="126"/>
      <c r="N109" s="130">
        <f t="shared" ref="N109:N114" si="75">G109-SUM(H109:M109)</f>
        <v>0</v>
      </c>
      <c r="O109" s="87">
        <v>250</v>
      </c>
      <c r="P109" s="131">
        <f t="shared" ref="P109:P114" si="76">N109*O109</f>
        <v>0</v>
      </c>
      <c r="Q109" s="132" t="e">
        <f>N109/N115</f>
        <v>#DIV/0!</v>
      </c>
      <c r="R109" s="133">
        <f t="shared" ref="R109:R114" si="77">P109/K$166</f>
        <v>0</v>
      </c>
      <c r="S109" s="1"/>
      <c r="U109"/>
      <c r="V109"/>
      <c r="W109"/>
    </row>
    <row r="110" spans="1:23" s="5" customFormat="1" hidden="1" x14ac:dyDescent="0.2">
      <c r="A110" s="107"/>
      <c r="B110" s="105" t="s">
        <v>44</v>
      </c>
      <c r="C110" s="112"/>
      <c r="D110" s="134"/>
      <c r="E110" s="81"/>
      <c r="F110" s="82"/>
      <c r="G110" s="135">
        <f t="shared" si="74"/>
        <v>0</v>
      </c>
      <c r="H110" s="84"/>
      <c r="I110" s="82"/>
      <c r="J110" s="85"/>
      <c r="K110" s="82"/>
      <c r="L110" s="82"/>
      <c r="M110" s="82"/>
      <c r="N110" s="93">
        <f t="shared" si="75"/>
        <v>0</v>
      </c>
      <c r="O110" s="87">
        <v>250</v>
      </c>
      <c r="P110" s="114">
        <f t="shared" si="76"/>
        <v>0</v>
      </c>
      <c r="Q110" s="115" t="e">
        <f>N110/N115</f>
        <v>#DIV/0!</v>
      </c>
      <c r="R110" s="90">
        <f t="shared" si="77"/>
        <v>0</v>
      </c>
      <c r="S110" s="1"/>
      <c r="U110"/>
      <c r="V110"/>
      <c r="W110"/>
    </row>
    <row r="111" spans="1:23" s="5" customFormat="1" hidden="1" x14ac:dyDescent="0.2">
      <c r="A111" s="92"/>
      <c r="B111" s="105" t="s">
        <v>45</v>
      </c>
      <c r="C111" s="112"/>
      <c r="D111" s="134"/>
      <c r="E111" s="81"/>
      <c r="F111" s="82"/>
      <c r="G111" s="135">
        <f t="shared" si="74"/>
        <v>0</v>
      </c>
      <c r="H111" s="84"/>
      <c r="I111" s="82"/>
      <c r="J111" s="85"/>
      <c r="K111" s="82"/>
      <c r="L111" s="82"/>
      <c r="M111" s="82"/>
      <c r="N111" s="93">
        <f t="shared" si="75"/>
        <v>0</v>
      </c>
      <c r="O111" s="87">
        <v>250</v>
      </c>
      <c r="P111" s="114">
        <f t="shared" si="76"/>
        <v>0</v>
      </c>
      <c r="Q111" s="115" t="e">
        <f>N111/N115</f>
        <v>#DIV/0!</v>
      </c>
      <c r="R111" s="90">
        <f t="shared" si="77"/>
        <v>0</v>
      </c>
      <c r="S111" s="1"/>
      <c r="U111"/>
      <c r="V111"/>
      <c r="W111"/>
    </row>
    <row r="112" spans="1:23" s="5" customFormat="1" hidden="1" x14ac:dyDescent="0.2">
      <c r="A112" s="92"/>
      <c r="B112" s="105" t="s">
        <v>46</v>
      </c>
      <c r="C112" s="112"/>
      <c r="D112" s="134"/>
      <c r="E112" s="81"/>
      <c r="F112" s="82"/>
      <c r="G112" s="135">
        <f t="shared" si="74"/>
        <v>0</v>
      </c>
      <c r="H112" s="84"/>
      <c r="I112" s="82"/>
      <c r="J112" s="85"/>
      <c r="K112" s="82"/>
      <c r="L112" s="82"/>
      <c r="M112" s="82"/>
      <c r="N112" s="93">
        <f t="shared" si="75"/>
        <v>0</v>
      </c>
      <c r="O112" s="87">
        <v>250</v>
      </c>
      <c r="P112" s="114">
        <f t="shared" si="76"/>
        <v>0</v>
      </c>
      <c r="Q112" s="115" t="e">
        <f>N112/N115</f>
        <v>#DIV/0!</v>
      </c>
      <c r="R112" s="90">
        <f t="shared" si="77"/>
        <v>0</v>
      </c>
      <c r="S112" s="1"/>
      <c r="U112"/>
      <c r="V112"/>
      <c r="W112"/>
    </row>
    <row r="113" spans="1:23" s="5" customFormat="1" hidden="1" x14ac:dyDescent="0.2">
      <c r="A113" s="92"/>
      <c r="B113" s="105" t="s">
        <v>47</v>
      </c>
      <c r="C113" s="112"/>
      <c r="D113" s="134"/>
      <c r="E113" s="81"/>
      <c r="F113" s="82"/>
      <c r="G113" s="135">
        <f t="shared" si="74"/>
        <v>0</v>
      </c>
      <c r="H113" s="84"/>
      <c r="I113" s="82"/>
      <c r="J113" s="85"/>
      <c r="K113" s="82"/>
      <c r="L113" s="82"/>
      <c r="M113" s="82"/>
      <c r="N113" s="93">
        <f t="shared" si="75"/>
        <v>0</v>
      </c>
      <c r="O113" s="87">
        <v>250</v>
      </c>
      <c r="P113" s="114">
        <f t="shared" si="76"/>
        <v>0</v>
      </c>
      <c r="Q113" s="115" t="e">
        <f>N113/N115</f>
        <v>#DIV/0!</v>
      </c>
      <c r="R113" s="90">
        <f t="shared" si="77"/>
        <v>0</v>
      </c>
      <c r="S113" s="1"/>
      <c r="U113"/>
      <c r="V113"/>
      <c r="W113"/>
    </row>
    <row r="114" spans="1:23" s="5" customFormat="1" hidden="1" x14ac:dyDescent="0.2">
      <c r="A114" s="92"/>
      <c r="B114" s="105" t="s">
        <v>48</v>
      </c>
      <c r="C114" s="112"/>
      <c r="D114" s="134"/>
      <c r="E114" s="81"/>
      <c r="F114" s="82"/>
      <c r="G114" s="135">
        <f t="shared" si="74"/>
        <v>0</v>
      </c>
      <c r="H114" s="84"/>
      <c r="I114" s="82"/>
      <c r="J114" s="85"/>
      <c r="K114" s="82"/>
      <c r="L114" s="82"/>
      <c r="M114" s="82"/>
      <c r="N114" s="93">
        <f t="shared" si="75"/>
        <v>0</v>
      </c>
      <c r="O114" s="87">
        <v>250</v>
      </c>
      <c r="P114" s="88">
        <f t="shared" si="76"/>
        <v>0</v>
      </c>
      <c r="Q114" s="89"/>
      <c r="R114" s="90">
        <f t="shared" si="77"/>
        <v>0</v>
      </c>
      <c r="S114" s="1"/>
      <c r="U114"/>
      <c r="V114"/>
      <c r="W114"/>
    </row>
    <row r="115" spans="1:23" s="5" customFormat="1" hidden="1" x14ac:dyDescent="0.2">
      <c r="A115" s="94" t="s">
        <v>49</v>
      </c>
      <c r="B115" s="95"/>
      <c r="C115" s="100">
        <f>SUM(C109:C114)</f>
        <v>0</v>
      </c>
      <c r="D115" s="97">
        <f>SUM(D109:D114)</f>
        <v>0</v>
      </c>
      <c r="E115" s="98">
        <f t="shared" ref="E115" si="78">SUM(E109:E113)</f>
        <v>0</v>
      </c>
      <c r="F115" s="99">
        <f>SUM(F109:F114)</f>
        <v>0</v>
      </c>
      <c r="G115" s="121">
        <f>SUM(G109:G114)</f>
        <v>0</v>
      </c>
      <c r="H115" s="100">
        <f>SUM(H109:H114)</f>
        <v>0</v>
      </c>
      <c r="I115" s="99">
        <f t="shared" ref="I115:M115" si="79">SUM(I109:I113)</f>
        <v>0</v>
      </c>
      <c r="J115" s="99">
        <f t="shared" si="79"/>
        <v>0</v>
      </c>
      <c r="K115" s="99">
        <f t="shared" si="79"/>
        <v>0</v>
      </c>
      <c r="L115" s="99">
        <f t="shared" si="79"/>
        <v>0</v>
      </c>
      <c r="M115" s="99">
        <f t="shared" si="79"/>
        <v>0</v>
      </c>
      <c r="N115" s="117">
        <f>SUM(N109:N114)</f>
        <v>0</v>
      </c>
      <c r="O115" s="87">
        <v>250</v>
      </c>
      <c r="P115" s="101">
        <f>SUM(P109:P114)</f>
        <v>0</v>
      </c>
      <c r="Q115" s="102" t="e">
        <f>SUM(Q109:Q114)</f>
        <v>#DIV/0!</v>
      </c>
      <c r="R115" s="111">
        <f>SUM(R109:R114)</f>
        <v>0</v>
      </c>
      <c r="S115" s="1"/>
      <c r="U115"/>
      <c r="V115"/>
      <c r="W115"/>
    </row>
    <row r="116" spans="1:23" s="5" customFormat="1" hidden="1" x14ac:dyDescent="0.2">
      <c r="A116" s="104"/>
      <c r="B116" s="105" t="s">
        <v>43</v>
      </c>
      <c r="C116" s="112"/>
      <c r="D116" s="134"/>
      <c r="E116" s="81"/>
      <c r="F116" s="82"/>
      <c r="G116" s="135">
        <f t="shared" ref="G116:G121" si="80">(C116+D116+F116)-E116</f>
        <v>0</v>
      </c>
      <c r="H116" s="84"/>
      <c r="I116" s="82"/>
      <c r="J116" s="85"/>
      <c r="K116" s="82"/>
      <c r="L116" s="82"/>
      <c r="M116" s="82"/>
      <c r="N116" s="93">
        <f t="shared" ref="N116:N121" si="81">G116-SUM(H116:M116)</f>
        <v>0</v>
      </c>
      <c r="O116" s="87">
        <v>200</v>
      </c>
      <c r="P116" s="88">
        <f t="shared" ref="P116:P121" si="82">N116*O116</f>
        <v>0</v>
      </c>
      <c r="Q116" s="89" t="e">
        <f>N116/N122</f>
        <v>#DIV/0!</v>
      </c>
      <c r="R116" s="90">
        <f t="shared" ref="R116:R121" si="83">P116/K$166</f>
        <v>0</v>
      </c>
      <c r="S116" s="1"/>
      <c r="U116"/>
      <c r="V116"/>
      <c r="W116"/>
    </row>
    <row r="117" spans="1:23" s="5" customFormat="1" hidden="1" x14ac:dyDescent="0.2">
      <c r="A117" s="107"/>
      <c r="B117" s="105" t="s">
        <v>44</v>
      </c>
      <c r="C117" s="112"/>
      <c r="D117" s="134"/>
      <c r="E117" s="81"/>
      <c r="F117" s="82"/>
      <c r="G117" s="135">
        <f t="shared" si="80"/>
        <v>0</v>
      </c>
      <c r="H117" s="84"/>
      <c r="I117" s="82"/>
      <c r="J117" s="85"/>
      <c r="K117" s="82"/>
      <c r="L117" s="82"/>
      <c r="M117" s="82"/>
      <c r="N117" s="93">
        <f t="shared" si="81"/>
        <v>0</v>
      </c>
      <c r="O117" s="87">
        <v>200</v>
      </c>
      <c r="P117" s="88">
        <f t="shared" si="82"/>
        <v>0</v>
      </c>
      <c r="Q117" s="89" t="e">
        <f>N117/N122</f>
        <v>#DIV/0!</v>
      </c>
      <c r="R117" s="90">
        <f t="shared" si="83"/>
        <v>0</v>
      </c>
      <c r="S117" s="1"/>
      <c r="U117"/>
      <c r="V117"/>
      <c r="W117"/>
    </row>
    <row r="118" spans="1:23" s="5" customFormat="1" hidden="1" x14ac:dyDescent="0.2">
      <c r="A118" s="92"/>
      <c r="B118" s="105" t="s">
        <v>45</v>
      </c>
      <c r="C118" s="112"/>
      <c r="D118" s="134"/>
      <c r="E118" s="81"/>
      <c r="F118" s="82"/>
      <c r="G118" s="135">
        <f t="shared" si="80"/>
        <v>0</v>
      </c>
      <c r="H118" s="84"/>
      <c r="I118" s="82"/>
      <c r="J118" s="85"/>
      <c r="K118" s="82"/>
      <c r="L118" s="82"/>
      <c r="M118" s="82"/>
      <c r="N118" s="93">
        <f t="shared" si="81"/>
        <v>0</v>
      </c>
      <c r="O118" s="87">
        <v>200</v>
      </c>
      <c r="P118" s="88">
        <f t="shared" si="82"/>
        <v>0</v>
      </c>
      <c r="Q118" s="89" t="e">
        <f>N118/N122</f>
        <v>#DIV/0!</v>
      </c>
      <c r="R118" s="90">
        <f t="shared" si="83"/>
        <v>0</v>
      </c>
      <c r="S118" s="1"/>
      <c r="U118"/>
      <c r="V118"/>
      <c r="W118"/>
    </row>
    <row r="119" spans="1:23" s="5" customFormat="1" hidden="1" x14ac:dyDescent="0.2">
      <c r="A119" s="92"/>
      <c r="B119" s="105" t="s">
        <v>46</v>
      </c>
      <c r="C119" s="112"/>
      <c r="D119" s="134"/>
      <c r="E119" s="81"/>
      <c r="F119" s="82"/>
      <c r="G119" s="135">
        <f t="shared" si="80"/>
        <v>0</v>
      </c>
      <c r="H119" s="84"/>
      <c r="I119" s="82"/>
      <c r="J119" s="85"/>
      <c r="K119" s="82"/>
      <c r="L119" s="82"/>
      <c r="M119" s="82"/>
      <c r="N119" s="93">
        <f t="shared" si="81"/>
        <v>0</v>
      </c>
      <c r="O119" s="87">
        <v>200</v>
      </c>
      <c r="P119" s="88">
        <f t="shared" si="82"/>
        <v>0</v>
      </c>
      <c r="Q119" s="89" t="e">
        <f>N119/N122</f>
        <v>#DIV/0!</v>
      </c>
      <c r="R119" s="90">
        <f t="shared" si="83"/>
        <v>0</v>
      </c>
      <c r="S119" s="1"/>
      <c r="U119"/>
      <c r="V119"/>
      <c r="W119"/>
    </row>
    <row r="120" spans="1:23" s="5" customFormat="1" hidden="1" x14ac:dyDescent="0.2">
      <c r="A120" s="92"/>
      <c r="B120" s="105" t="s">
        <v>47</v>
      </c>
      <c r="C120" s="112"/>
      <c r="D120" s="134"/>
      <c r="E120" s="81"/>
      <c r="F120" s="82"/>
      <c r="G120" s="135">
        <f t="shared" si="80"/>
        <v>0</v>
      </c>
      <c r="H120" s="84"/>
      <c r="I120" s="82"/>
      <c r="J120" s="85"/>
      <c r="K120" s="82"/>
      <c r="L120" s="82"/>
      <c r="M120" s="82"/>
      <c r="N120" s="93">
        <f t="shared" si="81"/>
        <v>0</v>
      </c>
      <c r="O120" s="87">
        <v>200</v>
      </c>
      <c r="P120" s="88">
        <f t="shared" si="82"/>
        <v>0</v>
      </c>
      <c r="Q120" s="89" t="e">
        <f>N120/N122</f>
        <v>#DIV/0!</v>
      </c>
      <c r="R120" s="90">
        <f t="shared" si="83"/>
        <v>0</v>
      </c>
      <c r="S120" s="1"/>
      <c r="U120"/>
      <c r="V120"/>
      <c r="W120"/>
    </row>
    <row r="121" spans="1:23" s="5" customFormat="1" hidden="1" x14ac:dyDescent="0.2">
      <c r="A121" s="92"/>
      <c r="B121" s="105" t="s">
        <v>48</v>
      </c>
      <c r="C121" s="84"/>
      <c r="D121" s="134"/>
      <c r="E121" s="81"/>
      <c r="F121" s="82"/>
      <c r="G121" s="135">
        <f t="shared" si="80"/>
        <v>0</v>
      </c>
      <c r="H121" s="84"/>
      <c r="I121" s="82"/>
      <c r="J121" s="85"/>
      <c r="K121" s="82"/>
      <c r="L121" s="82"/>
      <c r="M121" s="82"/>
      <c r="N121" s="93">
        <f t="shared" si="81"/>
        <v>0</v>
      </c>
      <c r="O121" s="87">
        <v>200</v>
      </c>
      <c r="P121" s="88">
        <f t="shared" si="82"/>
        <v>0</v>
      </c>
      <c r="Q121" s="89"/>
      <c r="R121" s="90">
        <f t="shared" si="83"/>
        <v>0</v>
      </c>
      <c r="S121" s="1"/>
      <c r="U121"/>
      <c r="V121"/>
      <c r="W121"/>
    </row>
    <row r="122" spans="1:23" s="5" customFormat="1" hidden="1" x14ac:dyDescent="0.2">
      <c r="A122" s="94" t="s">
        <v>49</v>
      </c>
      <c r="B122" s="95"/>
      <c r="C122" s="100">
        <f>SUM(C116:C121)</f>
        <v>0</v>
      </c>
      <c r="D122" s="97">
        <f>SUM(D116:D121)</f>
        <v>0</v>
      </c>
      <c r="E122" s="98">
        <f t="shared" ref="E122:F122" si="84">SUM(E116:E120)</f>
        <v>0</v>
      </c>
      <c r="F122" s="99">
        <f t="shared" si="84"/>
        <v>0</v>
      </c>
      <c r="G122" s="121">
        <f>SUM(G116:G121)</f>
        <v>0</v>
      </c>
      <c r="H122" s="100">
        <f>SUM(H116:H121)</f>
        <v>0</v>
      </c>
      <c r="I122" s="99">
        <f t="shared" ref="I122:M122" si="85">SUM(I116:I120)</f>
        <v>0</v>
      </c>
      <c r="J122" s="99">
        <f t="shared" si="85"/>
        <v>0</v>
      </c>
      <c r="K122" s="99">
        <f t="shared" si="85"/>
        <v>0</v>
      </c>
      <c r="L122" s="99">
        <f t="shared" si="85"/>
        <v>0</v>
      </c>
      <c r="M122" s="99">
        <f t="shared" si="85"/>
        <v>0</v>
      </c>
      <c r="N122" s="117">
        <f>SUM(N116:N121)</f>
        <v>0</v>
      </c>
      <c r="O122" s="87">
        <v>200</v>
      </c>
      <c r="P122" s="118">
        <f>SUM(P116:P121)</f>
        <v>0</v>
      </c>
      <c r="Q122" s="119" t="e">
        <f>SUM(Q116:Q121)</f>
        <v>#DIV/0!</v>
      </c>
      <c r="R122" s="111">
        <f>SUM(R116:R121)</f>
        <v>0</v>
      </c>
      <c r="S122" s="1"/>
      <c r="U122"/>
      <c r="V122"/>
      <c r="W122"/>
    </row>
    <row r="123" spans="1:23" s="5" customFormat="1" hidden="1" x14ac:dyDescent="0.2">
      <c r="A123" s="136"/>
      <c r="B123" s="105" t="s">
        <v>43</v>
      </c>
      <c r="C123" s="84"/>
      <c r="D123" s="134"/>
      <c r="E123" s="81"/>
      <c r="F123" s="82"/>
      <c r="G123" s="135">
        <f t="shared" ref="G123:G128" si="86">(C123+D123+F123)-E123</f>
        <v>0</v>
      </c>
      <c r="H123" s="84"/>
      <c r="I123" s="82"/>
      <c r="J123" s="85"/>
      <c r="K123" s="82"/>
      <c r="L123" s="82"/>
      <c r="M123" s="82"/>
      <c r="N123" s="86">
        <f t="shared" ref="N123:N128" si="87">G123-SUM(H123:M123)</f>
        <v>0</v>
      </c>
      <c r="O123" s="87"/>
      <c r="P123" s="88">
        <f t="shared" ref="P123:P128" si="88">N123*O123</f>
        <v>0</v>
      </c>
      <c r="Q123" s="89"/>
      <c r="R123" s="90">
        <f t="shared" ref="R123:R128" si="89">P123/K$166</f>
        <v>0</v>
      </c>
      <c r="S123" s="1"/>
      <c r="U123"/>
      <c r="V123"/>
      <c r="W123"/>
    </row>
    <row r="124" spans="1:23" s="5" customFormat="1" hidden="1" x14ac:dyDescent="0.2">
      <c r="A124" s="137"/>
      <c r="B124" s="105" t="s">
        <v>44</v>
      </c>
      <c r="C124" s="84"/>
      <c r="D124" s="134"/>
      <c r="E124" s="81"/>
      <c r="F124" s="82"/>
      <c r="G124" s="135">
        <f t="shared" si="86"/>
        <v>0</v>
      </c>
      <c r="H124" s="84"/>
      <c r="I124" s="82"/>
      <c r="J124" s="85"/>
      <c r="K124" s="82"/>
      <c r="L124" s="82"/>
      <c r="M124" s="82"/>
      <c r="N124" s="86">
        <f t="shared" si="87"/>
        <v>0</v>
      </c>
      <c r="O124" s="87"/>
      <c r="P124" s="88">
        <f t="shared" si="88"/>
        <v>0</v>
      </c>
      <c r="Q124" s="89"/>
      <c r="R124" s="90">
        <f t="shared" si="89"/>
        <v>0</v>
      </c>
      <c r="S124" s="1"/>
      <c r="U124"/>
      <c r="V124"/>
      <c r="W124"/>
    </row>
    <row r="125" spans="1:23" s="5" customFormat="1" hidden="1" x14ac:dyDescent="0.2">
      <c r="A125" s="139"/>
      <c r="B125" s="105" t="s">
        <v>45</v>
      </c>
      <c r="C125" s="84"/>
      <c r="D125" s="134"/>
      <c r="E125" s="81"/>
      <c r="F125" s="82"/>
      <c r="G125" s="135">
        <f t="shared" si="86"/>
        <v>0</v>
      </c>
      <c r="H125" s="84"/>
      <c r="I125" s="82"/>
      <c r="J125" s="85"/>
      <c r="K125" s="82"/>
      <c r="L125" s="82"/>
      <c r="M125" s="82"/>
      <c r="N125" s="86">
        <f t="shared" si="87"/>
        <v>0</v>
      </c>
      <c r="O125" s="87"/>
      <c r="P125" s="88">
        <f t="shared" si="88"/>
        <v>0</v>
      </c>
      <c r="Q125" s="89"/>
      <c r="R125" s="90">
        <f t="shared" si="89"/>
        <v>0</v>
      </c>
      <c r="S125" s="1"/>
      <c r="U125"/>
      <c r="V125"/>
      <c r="W125"/>
    </row>
    <row r="126" spans="1:23" s="5" customFormat="1" hidden="1" x14ac:dyDescent="0.2">
      <c r="A126" s="139"/>
      <c r="B126" s="105" t="s">
        <v>46</v>
      </c>
      <c r="C126" s="84"/>
      <c r="D126" s="134"/>
      <c r="E126" s="81"/>
      <c r="F126" s="82"/>
      <c r="G126" s="135">
        <f t="shared" si="86"/>
        <v>0</v>
      </c>
      <c r="H126" s="84"/>
      <c r="I126" s="82"/>
      <c r="J126" s="85"/>
      <c r="K126" s="82"/>
      <c r="L126" s="82"/>
      <c r="M126" s="82"/>
      <c r="N126" s="86">
        <f t="shared" si="87"/>
        <v>0</v>
      </c>
      <c r="O126" s="87"/>
      <c r="P126" s="88">
        <f t="shared" si="88"/>
        <v>0</v>
      </c>
      <c r="Q126" s="89"/>
      <c r="R126" s="90">
        <f t="shared" si="89"/>
        <v>0</v>
      </c>
      <c r="S126" s="1"/>
      <c r="U126"/>
      <c r="V126"/>
      <c r="W126"/>
    </row>
    <row r="127" spans="1:23" s="5" customFormat="1" hidden="1" x14ac:dyDescent="0.2">
      <c r="A127" s="139"/>
      <c r="B127" s="105" t="s">
        <v>47</v>
      </c>
      <c r="C127" s="84"/>
      <c r="D127" s="134"/>
      <c r="E127" s="81"/>
      <c r="F127" s="82"/>
      <c r="G127" s="135">
        <f t="shared" si="86"/>
        <v>0</v>
      </c>
      <c r="H127" s="84"/>
      <c r="I127" s="82"/>
      <c r="J127" s="85"/>
      <c r="K127" s="82"/>
      <c r="L127" s="82"/>
      <c r="M127" s="82"/>
      <c r="N127" s="86">
        <f t="shared" si="87"/>
        <v>0</v>
      </c>
      <c r="O127" s="87"/>
      <c r="P127" s="88">
        <f t="shared" si="88"/>
        <v>0</v>
      </c>
      <c r="Q127" s="89"/>
      <c r="R127" s="90">
        <f t="shared" si="89"/>
        <v>0</v>
      </c>
      <c r="S127" s="1"/>
      <c r="U127"/>
      <c r="V127"/>
      <c r="W127"/>
    </row>
    <row r="128" spans="1:23" s="5" customFormat="1" hidden="1" x14ac:dyDescent="0.2">
      <c r="A128" s="139"/>
      <c r="B128" s="105" t="s">
        <v>48</v>
      </c>
      <c r="C128" s="84"/>
      <c r="D128" s="134"/>
      <c r="E128" s="81"/>
      <c r="F128" s="82"/>
      <c r="G128" s="135">
        <f t="shared" si="86"/>
        <v>0</v>
      </c>
      <c r="H128" s="84"/>
      <c r="I128" s="82"/>
      <c r="J128" s="85"/>
      <c r="K128" s="82"/>
      <c r="L128" s="82"/>
      <c r="M128" s="82"/>
      <c r="N128" s="86">
        <f t="shared" si="87"/>
        <v>0</v>
      </c>
      <c r="O128" s="87"/>
      <c r="P128" s="88">
        <f t="shared" si="88"/>
        <v>0</v>
      </c>
      <c r="Q128" s="89"/>
      <c r="R128" s="90">
        <f t="shared" si="89"/>
        <v>0</v>
      </c>
      <c r="S128" s="1"/>
      <c r="U128"/>
      <c r="V128"/>
      <c r="W128"/>
    </row>
    <row r="129" spans="1:23" s="5" customFormat="1" hidden="1" x14ac:dyDescent="0.2">
      <c r="A129" s="140" t="s">
        <v>49</v>
      </c>
      <c r="B129" s="95"/>
      <c r="C129" s="100">
        <f>SUM(C123:C128)</f>
        <v>0</v>
      </c>
      <c r="D129" s="97">
        <f t="shared" ref="D129:N129" si="90">SUM(D123:D127)</f>
        <v>0</v>
      </c>
      <c r="E129" s="98">
        <f t="shared" si="90"/>
        <v>0</v>
      </c>
      <c r="F129" s="99">
        <f t="shared" si="90"/>
        <v>0</v>
      </c>
      <c r="G129" s="121">
        <f t="shared" si="90"/>
        <v>0</v>
      </c>
      <c r="H129" s="100">
        <f t="shared" si="90"/>
        <v>0</v>
      </c>
      <c r="I129" s="99">
        <f t="shared" si="90"/>
        <v>0</v>
      </c>
      <c r="J129" s="99">
        <f t="shared" si="90"/>
        <v>0</v>
      </c>
      <c r="K129" s="99">
        <f t="shared" si="90"/>
        <v>0</v>
      </c>
      <c r="L129" s="99">
        <f t="shared" si="90"/>
        <v>0</v>
      </c>
      <c r="M129" s="99">
        <f t="shared" si="90"/>
        <v>0</v>
      </c>
      <c r="N129" s="99">
        <f t="shared" si="90"/>
        <v>0</v>
      </c>
      <c r="O129" s="87"/>
      <c r="P129" s="101">
        <f>SUM(P123:P127)</f>
        <v>0</v>
      </c>
      <c r="Q129" s="110"/>
      <c r="R129" s="111">
        <f>SUM(R123:R127)</f>
        <v>0</v>
      </c>
      <c r="S129" s="1"/>
      <c r="U129"/>
      <c r="V129"/>
      <c r="W129"/>
    </row>
    <row r="130" spans="1:23" s="5" customFormat="1" hidden="1" x14ac:dyDescent="0.2">
      <c r="A130" s="147"/>
      <c r="B130" s="105" t="s">
        <v>43</v>
      </c>
      <c r="C130" s="84"/>
      <c r="D130" s="134"/>
      <c r="E130" s="81"/>
      <c r="F130" s="82"/>
      <c r="G130" s="135">
        <f t="shared" ref="G130:G134" si="91">(C130+D130+F130)-E130</f>
        <v>0</v>
      </c>
      <c r="H130" s="84"/>
      <c r="I130" s="82"/>
      <c r="J130" s="85"/>
      <c r="K130" s="82"/>
      <c r="L130" s="82"/>
      <c r="M130" s="82"/>
      <c r="N130" s="86">
        <f t="shared" ref="N130:N134" si="92">G130-SUM(H130:M130)</f>
        <v>0</v>
      </c>
      <c r="O130" s="87"/>
      <c r="P130" s="88">
        <f>N130*O130</f>
        <v>0</v>
      </c>
      <c r="Q130" s="89"/>
      <c r="R130" s="90">
        <f>P130/K$166</f>
        <v>0</v>
      </c>
      <c r="S130" s="1"/>
      <c r="U130"/>
      <c r="V130"/>
      <c r="W130"/>
    </row>
    <row r="131" spans="1:23" s="5" customFormat="1" hidden="1" x14ac:dyDescent="0.2">
      <c r="A131" s="137"/>
      <c r="B131" s="105" t="s">
        <v>44</v>
      </c>
      <c r="C131" s="84"/>
      <c r="D131" s="134"/>
      <c r="E131" s="81"/>
      <c r="F131" s="82"/>
      <c r="G131" s="135">
        <f t="shared" si="91"/>
        <v>0</v>
      </c>
      <c r="H131" s="84"/>
      <c r="I131" s="82"/>
      <c r="J131" s="85"/>
      <c r="K131" s="82"/>
      <c r="L131" s="82"/>
      <c r="M131" s="82"/>
      <c r="N131" s="86">
        <f t="shared" si="92"/>
        <v>0</v>
      </c>
      <c r="O131" s="87"/>
      <c r="P131" s="88">
        <f t="shared" ref="P131:P134" si="93">N131*O131</f>
        <v>0</v>
      </c>
      <c r="Q131" s="89"/>
      <c r="R131" s="90">
        <f>P131/K$166</f>
        <v>0</v>
      </c>
      <c r="S131" s="1"/>
      <c r="U131"/>
      <c r="V131"/>
      <c r="W131"/>
    </row>
    <row r="132" spans="1:23" s="5" customFormat="1" hidden="1" x14ac:dyDescent="0.2">
      <c r="A132" s="139"/>
      <c r="B132" s="105" t="s">
        <v>45</v>
      </c>
      <c r="C132" s="84"/>
      <c r="D132" s="134"/>
      <c r="E132" s="81"/>
      <c r="F132" s="82"/>
      <c r="G132" s="135">
        <f t="shared" si="91"/>
        <v>0</v>
      </c>
      <c r="H132" s="84"/>
      <c r="I132" s="82"/>
      <c r="J132" s="85"/>
      <c r="K132" s="82"/>
      <c r="L132" s="82"/>
      <c r="M132" s="82"/>
      <c r="N132" s="86">
        <f t="shared" si="92"/>
        <v>0</v>
      </c>
      <c r="O132" s="87"/>
      <c r="P132" s="88">
        <f t="shared" si="93"/>
        <v>0</v>
      </c>
      <c r="Q132" s="89"/>
      <c r="R132" s="90">
        <f>P132/K$166</f>
        <v>0</v>
      </c>
      <c r="S132" s="1"/>
      <c r="U132"/>
      <c r="V132"/>
      <c r="W132"/>
    </row>
    <row r="133" spans="1:23" s="5" customFormat="1" hidden="1" x14ac:dyDescent="0.2">
      <c r="A133" s="139"/>
      <c r="B133" s="105" t="s">
        <v>46</v>
      </c>
      <c r="C133" s="84"/>
      <c r="D133" s="134"/>
      <c r="E133" s="81"/>
      <c r="F133" s="82"/>
      <c r="G133" s="135">
        <f t="shared" si="91"/>
        <v>0</v>
      </c>
      <c r="H133" s="84"/>
      <c r="I133" s="82"/>
      <c r="J133" s="85"/>
      <c r="K133" s="82"/>
      <c r="L133" s="82"/>
      <c r="M133" s="82"/>
      <c r="N133" s="86">
        <f t="shared" si="92"/>
        <v>0</v>
      </c>
      <c r="O133" s="87"/>
      <c r="P133" s="88">
        <f t="shared" si="93"/>
        <v>0</v>
      </c>
      <c r="Q133" s="89"/>
      <c r="R133" s="90">
        <f>P133/K$166</f>
        <v>0</v>
      </c>
      <c r="S133" s="1"/>
      <c r="U133"/>
      <c r="V133"/>
      <c r="W133"/>
    </row>
    <row r="134" spans="1:23" s="5" customFormat="1" hidden="1" x14ac:dyDescent="0.2">
      <c r="A134" s="139"/>
      <c r="B134" s="105" t="s">
        <v>47</v>
      </c>
      <c r="C134" s="84"/>
      <c r="D134" s="134"/>
      <c r="E134" s="81"/>
      <c r="F134" s="82"/>
      <c r="G134" s="135">
        <f t="shared" si="91"/>
        <v>0</v>
      </c>
      <c r="H134" s="84"/>
      <c r="I134" s="82"/>
      <c r="J134" s="85"/>
      <c r="K134" s="82"/>
      <c r="L134" s="82"/>
      <c r="M134" s="82"/>
      <c r="N134" s="86">
        <f t="shared" si="92"/>
        <v>0</v>
      </c>
      <c r="O134" s="87"/>
      <c r="P134" s="88">
        <f t="shared" si="93"/>
        <v>0</v>
      </c>
      <c r="Q134" s="89"/>
      <c r="R134" s="90">
        <f>P134/K$166</f>
        <v>0</v>
      </c>
      <c r="S134" s="1"/>
      <c r="U134"/>
      <c r="V134"/>
      <c r="W134"/>
    </row>
    <row r="135" spans="1:23" s="5" customFormat="1" ht="16" hidden="1" thickBot="1" x14ac:dyDescent="0.25">
      <c r="A135" s="148" t="s">
        <v>49</v>
      </c>
      <c r="B135" s="149"/>
      <c r="C135" s="150">
        <f t="shared" ref="C135:N135" si="94">SUM(C130:C134)</f>
        <v>0</v>
      </c>
      <c r="D135" s="151">
        <f t="shared" si="94"/>
        <v>0</v>
      </c>
      <c r="E135" s="152">
        <f t="shared" si="94"/>
        <v>0</v>
      </c>
      <c r="F135" s="153">
        <f t="shared" si="94"/>
        <v>0</v>
      </c>
      <c r="G135" s="154">
        <f t="shared" si="94"/>
        <v>0</v>
      </c>
      <c r="H135" s="150">
        <f t="shared" si="94"/>
        <v>0</v>
      </c>
      <c r="I135" s="153">
        <f t="shared" si="94"/>
        <v>0</v>
      </c>
      <c r="J135" s="153">
        <f t="shared" si="94"/>
        <v>0</v>
      </c>
      <c r="K135" s="153">
        <f t="shared" si="94"/>
        <v>0</v>
      </c>
      <c r="L135" s="153">
        <f t="shared" si="94"/>
        <v>0</v>
      </c>
      <c r="M135" s="153">
        <f t="shared" si="94"/>
        <v>0</v>
      </c>
      <c r="N135" s="153">
        <f t="shared" si="94"/>
        <v>0</v>
      </c>
      <c r="O135" s="155"/>
      <c r="P135" s="156">
        <f>SUM(P130:P134)</f>
        <v>0</v>
      </c>
      <c r="Q135" s="157"/>
      <c r="R135" s="158">
        <f>SUM(R130:R134)</f>
        <v>0</v>
      </c>
      <c r="S135" s="1"/>
      <c r="U135"/>
      <c r="V135"/>
      <c r="W135"/>
    </row>
    <row r="136" spans="1:23" s="5" customFormat="1" ht="17" thickBot="1" x14ac:dyDescent="0.25">
      <c r="A136" s="53"/>
      <c r="B136" s="53"/>
      <c r="C136" s="54"/>
      <c r="D136" s="54"/>
      <c r="E136" s="53"/>
      <c r="F136" s="54"/>
      <c r="G136" s="159"/>
      <c r="H136" s="54"/>
      <c r="I136" s="54"/>
      <c r="J136" s="53"/>
      <c r="K136" s="53"/>
      <c r="L136" s="53"/>
      <c r="M136" s="54"/>
      <c r="N136" s="56"/>
      <c r="O136" s="56"/>
      <c r="P136" s="160">
        <f>P19+P26+P135+P33+P40+P47+P53+P59+P65+P71+P77+P83+P89+P96+P102+P108+P115+P122</f>
        <v>7620</v>
      </c>
      <c r="Q136" s="160"/>
      <c r="R136" s="161">
        <f>R19++R26+R135+R33+R40+R47+R53+R59+R65+R71+R77+R83+R89+R96+R102+R108+R115+R122</f>
        <v>0.45155555555555549</v>
      </c>
      <c r="S136" s="1"/>
      <c r="U136"/>
      <c r="V136"/>
      <c r="W136"/>
    </row>
    <row r="137" spans="1:23" s="5" customFormat="1" ht="16" thickBot="1" x14ac:dyDescent="0.25">
      <c r="A137" s="60" t="s">
        <v>53</v>
      </c>
      <c r="B137" s="53"/>
      <c r="C137" s="54"/>
      <c r="D137" s="54"/>
      <c r="E137" s="53"/>
      <c r="F137" s="54"/>
      <c r="G137" s="159"/>
      <c r="H137" s="54"/>
      <c r="I137" s="54"/>
      <c r="J137" s="53"/>
      <c r="K137" s="53"/>
      <c r="L137" s="53"/>
      <c r="M137" s="54"/>
      <c r="N137" s="56"/>
      <c r="O137" s="56"/>
      <c r="P137" s="57"/>
      <c r="Q137" s="58"/>
      <c r="R137" s="59"/>
      <c r="S137" s="1"/>
      <c r="U137"/>
      <c r="V137"/>
      <c r="W137"/>
    </row>
    <row r="138" spans="1:23" s="5" customFormat="1" x14ac:dyDescent="0.2">
      <c r="A138" s="162" t="s">
        <v>54</v>
      </c>
      <c r="B138" s="163" t="s">
        <v>55</v>
      </c>
      <c r="C138" s="164">
        <v>128</v>
      </c>
      <c r="D138" s="65">
        <v>151</v>
      </c>
      <c r="E138" s="273">
        <v>1</v>
      </c>
      <c r="F138" s="67"/>
      <c r="G138" s="68">
        <f t="shared" ref="G138:G150" si="95">(C138+D138+F138)-E138</f>
        <v>278</v>
      </c>
      <c r="H138" s="69">
        <v>239</v>
      </c>
      <c r="I138" s="67"/>
      <c r="J138" s="70"/>
      <c r="K138" s="67"/>
      <c r="L138" s="67"/>
      <c r="M138" s="67"/>
      <c r="N138" s="71">
        <f t="shared" ref="N138:N150" si="96">G138-SUM(H138:M138)</f>
        <v>39</v>
      </c>
      <c r="O138" s="72">
        <v>40</v>
      </c>
      <c r="P138" s="73">
        <f t="shared" ref="P138:P150" si="97">N138*O138</f>
        <v>1560</v>
      </c>
      <c r="Q138" s="74"/>
      <c r="R138" s="75">
        <f t="shared" ref="R138:R150" si="98">P138/K$166</f>
        <v>9.244444444444444E-2</v>
      </c>
      <c r="S138" s="1"/>
      <c r="U138"/>
      <c r="V138"/>
      <c r="W138"/>
    </row>
    <row r="139" spans="1:23" s="5" customFormat="1" x14ac:dyDescent="0.2">
      <c r="A139" s="94" t="s">
        <v>56</v>
      </c>
      <c r="B139" s="105" t="s">
        <v>55</v>
      </c>
      <c r="C139" s="79">
        <v>0</v>
      </c>
      <c r="D139" s="272">
        <v>0</v>
      </c>
      <c r="E139" s="272">
        <v>0</v>
      </c>
      <c r="F139" s="82"/>
      <c r="G139" s="83">
        <f t="shared" si="95"/>
        <v>0</v>
      </c>
      <c r="H139" s="84">
        <v>0</v>
      </c>
      <c r="I139" s="82"/>
      <c r="J139" s="85"/>
      <c r="K139" s="82"/>
      <c r="L139" s="82"/>
      <c r="M139" s="82"/>
      <c r="N139" s="86">
        <f t="shared" si="96"/>
        <v>0</v>
      </c>
      <c r="O139" s="87">
        <v>20</v>
      </c>
      <c r="P139" s="88">
        <f t="shared" si="97"/>
        <v>0</v>
      </c>
      <c r="Q139" s="89"/>
      <c r="R139" s="90">
        <f t="shared" si="98"/>
        <v>0</v>
      </c>
      <c r="S139" s="1"/>
      <c r="U139"/>
      <c r="V139"/>
      <c r="W139"/>
    </row>
    <row r="140" spans="1:23" s="5" customFormat="1" ht="15" customHeight="1" x14ac:dyDescent="0.2">
      <c r="A140" s="94" t="s">
        <v>57</v>
      </c>
      <c r="B140" s="105" t="s">
        <v>55</v>
      </c>
      <c r="C140" s="106">
        <v>214</v>
      </c>
      <c r="D140" s="165"/>
      <c r="E140" s="125"/>
      <c r="F140" s="270">
        <v>68</v>
      </c>
      <c r="G140" s="83">
        <f t="shared" si="95"/>
        <v>282</v>
      </c>
      <c r="H140" s="128">
        <v>207</v>
      </c>
      <c r="I140" s="126"/>
      <c r="J140" s="129"/>
      <c r="K140" s="126"/>
      <c r="L140" s="126"/>
      <c r="M140" s="126">
        <v>2</v>
      </c>
      <c r="N140" s="86">
        <f t="shared" si="96"/>
        <v>73</v>
      </c>
      <c r="O140" s="87">
        <v>40</v>
      </c>
      <c r="P140" s="88">
        <f t="shared" si="97"/>
        <v>2920</v>
      </c>
      <c r="Q140" s="89"/>
      <c r="R140" s="90">
        <f t="shared" si="98"/>
        <v>0.17303703703703704</v>
      </c>
      <c r="S140" s="1"/>
      <c r="U140"/>
      <c r="V140"/>
      <c r="W140"/>
    </row>
    <row r="141" spans="1:23" s="5" customFormat="1" hidden="1" x14ac:dyDescent="0.2">
      <c r="A141" s="166"/>
      <c r="B141" s="105"/>
      <c r="C141" s="112"/>
      <c r="D141" s="165"/>
      <c r="E141" s="125"/>
      <c r="F141" s="126"/>
      <c r="G141" s="83">
        <f t="shared" si="95"/>
        <v>0</v>
      </c>
      <c r="H141" s="128"/>
      <c r="I141" s="126"/>
      <c r="J141" s="129"/>
      <c r="K141" s="126"/>
      <c r="L141" s="126"/>
      <c r="M141" s="126"/>
      <c r="N141" s="86">
        <f t="shared" si="96"/>
        <v>0</v>
      </c>
      <c r="O141" s="87"/>
      <c r="P141" s="88">
        <f t="shared" si="97"/>
        <v>0</v>
      </c>
      <c r="Q141" s="89"/>
      <c r="R141" s="90">
        <f t="shared" si="98"/>
        <v>0</v>
      </c>
      <c r="S141" s="1"/>
      <c r="U141"/>
      <c r="V141"/>
      <c r="W141"/>
    </row>
    <row r="142" spans="1:23" s="5" customFormat="1" hidden="1" x14ac:dyDescent="0.2">
      <c r="A142" s="167"/>
      <c r="B142" s="105"/>
      <c r="C142" s="112"/>
      <c r="D142" s="165"/>
      <c r="E142" s="125"/>
      <c r="F142" s="126"/>
      <c r="G142" s="83">
        <f t="shared" si="95"/>
        <v>0</v>
      </c>
      <c r="H142" s="128"/>
      <c r="I142" s="126"/>
      <c r="J142" s="129"/>
      <c r="K142" s="126"/>
      <c r="L142" s="126"/>
      <c r="M142" s="126"/>
      <c r="N142" s="86">
        <f t="shared" si="96"/>
        <v>0</v>
      </c>
      <c r="O142" s="87"/>
      <c r="P142" s="88">
        <f t="shared" si="97"/>
        <v>0</v>
      </c>
      <c r="Q142" s="89"/>
      <c r="R142" s="90">
        <f t="shared" si="98"/>
        <v>0</v>
      </c>
      <c r="S142" s="1"/>
      <c r="U142"/>
      <c r="V142"/>
      <c r="W142"/>
    </row>
    <row r="143" spans="1:23" s="5" customFormat="1" hidden="1" x14ac:dyDescent="0.2">
      <c r="A143" s="167"/>
      <c r="B143" s="105"/>
      <c r="C143" s="112"/>
      <c r="D143" s="165"/>
      <c r="E143" s="125"/>
      <c r="F143" s="126"/>
      <c r="G143" s="83">
        <f t="shared" si="95"/>
        <v>0</v>
      </c>
      <c r="H143" s="128"/>
      <c r="I143" s="126"/>
      <c r="J143" s="129"/>
      <c r="K143" s="126"/>
      <c r="L143" s="126"/>
      <c r="M143" s="126"/>
      <c r="N143" s="86">
        <f t="shared" si="96"/>
        <v>0</v>
      </c>
      <c r="O143" s="87"/>
      <c r="P143" s="88">
        <f t="shared" si="97"/>
        <v>0</v>
      </c>
      <c r="Q143" s="89"/>
      <c r="R143" s="90">
        <f t="shared" si="98"/>
        <v>0</v>
      </c>
      <c r="S143" s="1"/>
      <c r="U143"/>
      <c r="V143"/>
      <c r="W143"/>
    </row>
    <row r="144" spans="1:23" s="5" customFormat="1" hidden="1" x14ac:dyDescent="0.2">
      <c r="A144" s="167"/>
      <c r="B144" s="105"/>
      <c r="C144" s="168"/>
      <c r="D144" s="165"/>
      <c r="E144" s="125"/>
      <c r="F144" s="126"/>
      <c r="G144" s="83">
        <f t="shared" si="95"/>
        <v>0</v>
      </c>
      <c r="H144" s="128"/>
      <c r="I144" s="126"/>
      <c r="J144" s="129"/>
      <c r="K144" s="126"/>
      <c r="L144" s="126"/>
      <c r="M144" s="126"/>
      <c r="N144" s="86">
        <f t="shared" si="96"/>
        <v>0</v>
      </c>
      <c r="O144" s="87"/>
      <c r="P144" s="88">
        <f t="shared" si="97"/>
        <v>0</v>
      </c>
      <c r="Q144" s="89"/>
      <c r="R144" s="90">
        <f t="shared" si="98"/>
        <v>0</v>
      </c>
      <c r="S144" s="1"/>
      <c r="U144"/>
      <c r="V144"/>
      <c r="W144"/>
    </row>
    <row r="145" spans="1:23" s="5" customFormat="1" hidden="1" x14ac:dyDescent="0.2">
      <c r="A145" s="167"/>
      <c r="B145" s="105"/>
      <c r="C145" s="168"/>
      <c r="D145" s="165"/>
      <c r="E145" s="125"/>
      <c r="F145" s="126"/>
      <c r="G145" s="169">
        <f t="shared" si="95"/>
        <v>0</v>
      </c>
      <c r="H145" s="128"/>
      <c r="I145" s="126"/>
      <c r="J145" s="129"/>
      <c r="K145" s="126"/>
      <c r="L145" s="126"/>
      <c r="M145" s="126"/>
      <c r="N145" s="170">
        <f t="shared" si="96"/>
        <v>0</v>
      </c>
      <c r="O145" s="171"/>
      <c r="P145" s="172">
        <f t="shared" si="97"/>
        <v>0</v>
      </c>
      <c r="Q145" s="173"/>
      <c r="R145" s="90">
        <f t="shared" si="98"/>
        <v>0</v>
      </c>
      <c r="S145" s="6"/>
      <c r="U145"/>
      <c r="V145"/>
      <c r="W145"/>
    </row>
    <row r="146" spans="1:23" s="5" customFormat="1" hidden="1" x14ac:dyDescent="0.2">
      <c r="A146" s="167"/>
      <c r="B146" s="123"/>
      <c r="C146" s="168"/>
      <c r="D146" s="165"/>
      <c r="E146" s="125"/>
      <c r="F146" s="126"/>
      <c r="G146" s="169">
        <f t="shared" si="95"/>
        <v>0</v>
      </c>
      <c r="H146" s="128"/>
      <c r="I146" s="126"/>
      <c r="J146" s="129"/>
      <c r="K146" s="126"/>
      <c r="L146" s="126"/>
      <c r="M146" s="126"/>
      <c r="N146" s="170">
        <f t="shared" si="96"/>
        <v>0</v>
      </c>
      <c r="O146" s="171"/>
      <c r="P146" s="172">
        <f t="shared" si="97"/>
        <v>0</v>
      </c>
      <c r="Q146" s="173"/>
      <c r="R146" s="90">
        <f t="shared" si="98"/>
        <v>0</v>
      </c>
      <c r="S146" s="6"/>
      <c r="U146"/>
      <c r="V146"/>
      <c r="W146"/>
    </row>
    <row r="147" spans="1:23" s="5" customFormat="1" hidden="1" x14ac:dyDescent="0.2">
      <c r="A147" s="167"/>
      <c r="B147" s="123"/>
      <c r="C147" s="168"/>
      <c r="D147" s="165"/>
      <c r="E147" s="125"/>
      <c r="F147" s="126"/>
      <c r="G147" s="169">
        <f t="shared" si="95"/>
        <v>0</v>
      </c>
      <c r="H147" s="128"/>
      <c r="I147" s="126"/>
      <c r="J147" s="129"/>
      <c r="K147" s="126"/>
      <c r="L147" s="126"/>
      <c r="M147" s="126"/>
      <c r="N147" s="170">
        <f t="shared" si="96"/>
        <v>0</v>
      </c>
      <c r="O147" s="171"/>
      <c r="P147" s="172">
        <f t="shared" si="97"/>
        <v>0</v>
      </c>
      <c r="Q147" s="173"/>
      <c r="R147" s="90">
        <f t="shared" si="98"/>
        <v>0</v>
      </c>
      <c r="S147" s="6"/>
      <c r="U147"/>
      <c r="V147"/>
      <c r="W147"/>
    </row>
    <row r="148" spans="1:23" s="5" customFormat="1" ht="16" hidden="1" customHeight="1" x14ac:dyDescent="0.2">
      <c r="A148" s="167"/>
      <c r="B148" s="123"/>
      <c r="C148" s="168"/>
      <c r="D148" s="165"/>
      <c r="E148" s="125"/>
      <c r="F148" s="126"/>
      <c r="G148" s="169">
        <f t="shared" si="95"/>
        <v>0</v>
      </c>
      <c r="H148" s="128"/>
      <c r="I148" s="126"/>
      <c r="J148" s="129"/>
      <c r="K148" s="126"/>
      <c r="L148" s="126"/>
      <c r="M148" s="126"/>
      <c r="N148" s="170">
        <f t="shared" si="96"/>
        <v>0</v>
      </c>
      <c r="O148" s="171"/>
      <c r="P148" s="172">
        <f t="shared" si="97"/>
        <v>0</v>
      </c>
      <c r="Q148" s="173"/>
      <c r="R148" s="90">
        <f t="shared" si="98"/>
        <v>0</v>
      </c>
      <c r="S148" s="6"/>
      <c r="U148"/>
      <c r="V148"/>
      <c r="W148"/>
    </row>
    <row r="149" spans="1:23" s="5" customFormat="1" ht="17" hidden="1" customHeight="1" x14ac:dyDescent="0.2">
      <c r="A149" s="140"/>
      <c r="B149" s="123"/>
      <c r="C149" s="168"/>
      <c r="D149" s="165"/>
      <c r="E149" s="125"/>
      <c r="F149" s="126"/>
      <c r="G149" s="169">
        <f t="shared" si="95"/>
        <v>0</v>
      </c>
      <c r="H149" s="128"/>
      <c r="I149" s="126"/>
      <c r="J149" s="129"/>
      <c r="K149" s="126"/>
      <c r="L149" s="126"/>
      <c r="M149" s="126"/>
      <c r="N149" s="170">
        <f t="shared" si="96"/>
        <v>0</v>
      </c>
      <c r="O149" s="171"/>
      <c r="P149" s="172">
        <f t="shared" si="97"/>
        <v>0</v>
      </c>
      <c r="Q149" s="173"/>
      <c r="R149" s="90">
        <f t="shared" si="98"/>
        <v>0</v>
      </c>
      <c r="S149" s="6"/>
      <c r="U149"/>
      <c r="V149"/>
      <c r="W149"/>
    </row>
    <row r="150" spans="1:23" s="5" customFormat="1" ht="17" hidden="1" customHeight="1" x14ac:dyDescent="0.2">
      <c r="A150" s="174"/>
      <c r="B150" s="175"/>
      <c r="C150" s="176"/>
      <c r="D150" s="177"/>
      <c r="E150" s="178"/>
      <c r="F150" s="179"/>
      <c r="G150" s="180">
        <f t="shared" si="95"/>
        <v>0</v>
      </c>
      <c r="H150" s="181"/>
      <c r="I150" s="179"/>
      <c r="J150" s="182"/>
      <c r="K150" s="179"/>
      <c r="L150" s="179"/>
      <c r="M150" s="179"/>
      <c r="N150" s="183">
        <f t="shared" si="96"/>
        <v>0</v>
      </c>
      <c r="O150" s="184"/>
      <c r="P150" s="88">
        <f t="shared" si="97"/>
        <v>0</v>
      </c>
      <c r="Q150" s="89"/>
      <c r="R150" s="90">
        <f t="shared" si="98"/>
        <v>0</v>
      </c>
      <c r="S150" s="1"/>
      <c r="U150"/>
      <c r="V150"/>
      <c r="W150"/>
    </row>
    <row r="151" spans="1:23" s="5" customFormat="1" ht="17" thickBot="1" x14ac:dyDescent="0.25">
      <c r="A151" s="185"/>
      <c r="B151" s="53"/>
      <c r="C151" s="54"/>
      <c r="D151" s="54"/>
      <c r="E151" s="53"/>
      <c r="F151" s="54"/>
      <c r="G151" s="159"/>
      <c r="H151" s="54"/>
      <c r="I151" s="54"/>
      <c r="J151" s="53"/>
      <c r="K151" s="53"/>
      <c r="L151" s="53"/>
      <c r="M151" s="54"/>
      <c r="N151" s="56"/>
      <c r="O151" s="56"/>
      <c r="P151" s="160">
        <f>SUM(P138:P150)</f>
        <v>4480</v>
      </c>
      <c r="Q151" s="186"/>
      <c r="R151" s="161">
        <f>SUM(R138:R150)</f>
        <v>0.26548148148148148</v>
      </c>
      <c r="S151" s="1"/>
      <c r="U151"/>
      <c r="V151"/>
      <c r="W151"/>
    </row>
    <row r="152" spans="1:23" s="5" customFormat="1" ht="18" customHeight="1" thickBot="1" x14ac:dyDescent="0.25">
      <c r="A152" s="60" t="s">
        <v>58</v>
      </c>
      <c r="B152" s="53"/>
      <c r="C152" s="54"/>
      <c r="D152" s="54"/>
      <c r="E152" s="53"/>
      <c r="F152" s="54"/>
      <c r="G152" s="159"/>
      <c r="H152" s="54"/>
      <c r="I152" s="54"/>
      <c r="J152" s="53"/>
      <c r="K152" s="53"/>
      <c r="L152" s="53"/>
      <c r="M152" s="54"/>
      <c r="N152" s="56"/>
      <c r="O152" s="56"/>
      <c r="P152" s="57"/>
      <c r="Q152" s="58"/>
      <c r="R152" s="59"/>
      <c r="S152" s="187"/>
      <c r="U152"/>
      <c r="V152"/>
      <c r="W152"/>
    </row>
    <row r="153" spans="1:23" s="5" customFormat="1" x14ac:dyDescent="0.2">
      <c r="A153" s="162" t="s">
        <v>59</v>
      </c>
      <c r="B153" s="163" t="s">
        <v>55</v>
      </c>
      <c r="C153" s="164">
        <v>30</v>
      </c>
      <c r="D153" s="65">
        <v>13</v>
      </c>
      <c r="E153" s="66"/>
      <c r="F153" s="67"/>
      <c r="G153" s="68">
        <f t="shared" ref="G153:G159" si="99">(C153+D153+F153)-E153</f>
        <v>43</v>
      </c>
      <c r="H153" s="69">
        <v>5</v>
      </c>
      <c r="I153" s="67"/>
      <c r="J153" s="70"/>
      <c r="K153" s="67"/>
      <c r="L153" s="67"/>
      <c r="M153" s="67"/>
      <c r="N153" s="71">
        <f t="shared" ref="N153:N159" si="100">G153-SUM(H153:M153)</f>
        <v>38</v>
      </c>
      <c r="O153" s="72">
        <v>30</v>
      </c>
      <c r="P153" s="73">
        <f t="shared" ref="P153:P159" si="101">N153*O153</f>
        <v>1140</v>
      </c>
      <c r="Q153" s="74"/>
      <c r="R153" s="75">
        <f t="shared" ref="R153:R159" si="102">P153/K$166</f>
        <v>6.7555555555555549E-2</v>
      </c>
      <c r="S153" s="187"/>
      <c r="U153"/>
      <c r="V153"/>
      <c r="W153"/>
    </row>
    <row r="154" spans="1:23" s="5" customFormat="1" x14ac:dyDescent="0.2">
      <c r="A154" s="167" t="s">
        <v>60</v>
      </c>
      <c r="B154" s="123" t="s">
        <v>55</v>
      </c>
      <c r="C154" s="188">
        <v>30</v>
      </c>
      <c r="D154" s="165">
        <v>56</v>
      </c>
      <c r="E154" s="81"/>
      <c r="F154" s="82"/>
      <c r="G154" s="83">
        <f t="shared" si="99"/>
        <v>86</v>
      </c>
      <c r="H154" s="84">
        <v>73</v>
      </c>
      <c r="I154" s="82"/>
      <c r="J154" s="85"/>
      <c r="K154" s="82"/>
      <c r="L154" s="82"/>
      <c r="M154" s="82"/>
      <c r="N154" s="86">
        <f t="shared" si="100"/>
        <v>13</v>
      </c>
      <c r="O154" s="87">
        <v>30</v>
      </c>
      <c r="P154" s="88">
        <f t="shared" si="101"/>
        <v>390</v>
      </c>
      <c r="Q154" s="89"/>
      <c r="R154" s="90">
        <f t="shared" si="102"/>
        <v>2.311111111111111E-2</v>
      </c>
      <c r="S154" s="187"/>
      <c r="U154"/>
      <c r="V154"/>
      <c r="W154"/>
    </row>
    <row r="155" spans="1:23" s="5" customFormat="1" x14ac:dyDescent="0.2">
      <c r="A155" s="140" t="s">
        <v>61</v>
      </c>
      <c r="B155" s="123" t="s">
        <v>55</v>
      </c>
      <c r="C155" s="188">
        <v>30</v>
      </c>
      <c r="D155" s="165">
        <v>100</v>
      </c>
      <c r="E155" s="81"/>
      <c r="F155" s="82"/>
      <c r="G155" s="83">
        <f t="shared" si="99"/>
        <v>130</v>
      </c>
      <c r="H155" s="84">
        <v>122</v>
      </c>
      <c r="I155" s="82"/>
      <c r="J155" s="85"/>
      <c r="K155" s="82"/>
      <c r="L155" s="82"/>
      <c r="M155" s="82"/>
      <c r="N155" s="86">
        <f t="shared" si="100"/>
        <v>8</v>
      </c>
      <c r="O155" s="87">
        <v>30</v>
      </c>
      <c r="P155" s="88">
        <f t="shared" si="101"/>
        <v>240</v>
      </c>
      <c r="Q155" s="89"/>
      <c r="R155" s="90">
        <f t="shared" si="102"/>
        <v>1.4222222222222223E-2</v>
      </c>
      <c r="S155" s="187"/>
      <c r="U155"/>
      <c r="V155"/>
      <c r="W155"/>
    </row>
    <row r="156" spans="1:23" s="5" customFormat="1" ht="16" thickBot="1" x14ac:dyDescent="0.25">
      <c r="A156" s="174" t="s">
        <v>62</v>
      </c>
      <c r="B156" s="175" t="s">
        <v>55</v>
      </c>
      <c r="C156" s="189">
        <v>30</v>
      </c>
      <c r="D156" s="177">
        <v>76</v>
      </c>
      <c r="E156" s="178"/>
      <c r="F156" s="179"/>
      <c r="G156" s="180">
        <f t="shared" si="99"/>
        <v>106</v>
      </c>
      <c r="H156" s="181">
        <v>91</v>
      </c>
      <c r="I156" s="179"/>
      <c r="J156" s="182"/>
      <c r="K156" s="179"/>
      <c r="L156" s="179"/>
      <c r="M156" s="179"/>
      <c r="N156" s="183">
        <f t="shared" si="100"/>
        <v>15</v>
      </c>
      <c r="O156" s="184">
        <v>30</v>
      </c>
      <c r="P156" s="190">
        <f t="shared" si="101"/>
        <v>450</v>
      </c>
      <c r="Q156" s="191"/>
      <c r="R156" s="192">
        <f t="shared" si="102"/>
        <v>2.6666666666666668E-2</v>
      </c>
      <c r="S156" s="187"/>
      <c r="U156"/>
      <c r="V156"/>
      <c r="W156"/>
    </row>
    <row r="157" spans="1:23" s="5" customFormat="1" x14ac:dyDescent="0.2">
      <c r="A157" s="193" t="s">
        <v>74</v>
      </c>
      <c r="B157" s="123" t="s">
        <v>75</v>
      </c>
      <c r="C157" s="128"/>
      <c r="D157" s="165"/>
      <c r="E157" s="125"/>
      <c r="F157" s="126">
        <v>80</v>
      </c>
      <c r="G157" s="169">
        <f t="shared" si="99"/>
        <v>80</v>
      </c>
      <c r="H157" s="128">
        <v>39</v>
      </c>
      <c r="I157" s="126"/>
      <c r="J157" s="129"/>
      <c r="K157" s="126"/>
      <c r="L157" s="126"/>
      <c r="M157" s="126"/>
      <c r="N157" s="170">
        <f t="shared" si="100"/>
        <v>41</v>
      </c>
      <c r="O157" s="171">
        <v>35</v>
      </c>
      <c r="P157" s="172">
        <f t="shared" si="101"/>
        <v>1435</v>
      </c>
      <c r="Q157" s="173"/>
      <c r="R157" s="133">
        <f t="shared" si="102"/>
        <v>8.5037037037037036E-2</v>
      </c>
      <c r="S157" s="187"/>
      <c r="U157"/>
      <c r="V157"/>
      <c r="W157"/>
    </row>
    <row r="158" spans="1:23" s="5" customFormat="1" x14ac:dyDescent="0.2">
      <c r="A158" s="94" t="s">
        <v>76</v>
      </c>
      <c r="B158" s="105"/>
      <c r="C158" s="84"/>
      <c r="D158" s="80"/>
      <c r="E158" s="81"/>
      <c r="F158" s="82">
        <v>23</v>
      </c>
      <c r="G158" s="83">
        <f t="shared" si="99"/>
        <v>23</v>
      </c>
      <c r="H158" s="84">
        <v>6</v>
      </c>
      <c r="I158" s="82"/>
      <c r="J158" s="85"/>
      <c r="K158" s="82">
        <v>1</v>
      </c>
      <c r="L158" s="82"/>
      <c r="M158" s="82"/>
      <c r="N158" s="86">
        <f t="shared" si="100"/>
        <v>16</v>
      </c>
      <c r="O158" s="87">
        <v>70</v>
      </c>
      <c r="P158" s="88">
        <f t="shared" si="101"/>
        <v>1120</v>
      </c>
      <c r="Q158" s="89"/>
      <c r="R158" s="90">
        <f t="shared" si="102"/>
        <v>6.6370370370370371E-2</v>
      </c>
      <c r="S158" s="187"/>
      <c r="T158" s="5" t="s">
        <v>77</v>
      </c>
      <c r="U158"/>
      <c r="V158"/>
      <c r="W158"/>
    </row>
    <row r="159" spans="1:23" s="5" customFormat="1" ht="16" hidden="1" thickBot="1" x14ac:dyDescent="0.25">
      <c r="A159" s="148"/>
      <c r="B159" s="175"/>
      <c r="C159" s="181"/>
      <c r="D159" s="177"/>
      <c r="E159" s="178"/>
      <c r="F159" s="179"/>
      <c r="G159" s="180">
        <f t="shared" si="99"/>
        <v>0</v>
      </c>
      <c r="H159" s="181"/>
      <c r="I159" s="179"/>
      <c r="J159" s="182"/>
      <c r="K159" s="179"/>
      <c r="L159" s="179"/>
      <c r="M159" s="179"/>
      <c r="N159" s="183">
        <f t="shared" si="100"/>
        <v>0</v>
      </c>
      <c r="O159" s="194"/>
      <c r="P159" s="190">
        <f t="shared" si="101"/>
        <v>0</v>
      </c>
      <c r="Q159" s="191"/>
      <c r="R159" s="192">
        <f t="shared" si="102"/>
        <v>0</v>
      </c>
      <c r="S159" s="187"/>
      <c r="U159"/>
      <c r="V159"/>
      <c r="W159"/>
    </row>
    <row r="160" spans="1:23" s="5" customFormat="1" ht="17" thickBot="1" x14ac:dyDescent="0.25">
      <c r="A160" s="195"/>
      <c r="B160" s="196"/>
      <c r="C160" s="197"/>
      <c r="D160" s="198"/>
      <c r="E160" s="197"/>
      <c r="F160" s="197"/>
      <c r="G160" s="197"/>
      <c r="H160" s="197"/>
      <c r="I160" s="197"/>
      <c r="J160" s="197"/>
      <c r="K160" s="197"/>
      <c r="L160" s="197"/>
      <c r="M160" s="199"/>
      <c r="N160" s="200"/>
      <c r="O160" s="201" t="s">
        <v>7</v>
      </c>
      <c r="P160" s="202">
        <f>SUM(P153:P159)</f>
        <v>4775</v>
      </c>
      <c r="Q160" s="203"/>
      <c r="R160" s="204">
        <f>SUM(R153:R159)</f>
        <v>0.28296296296296292</v>
      </c>
      <c r="S160" s="187"/>
      <c r="U160"/>
      <c r="V160"/>
      <c r="W160"/>
    </row>
    <row r="161" spans="1:23" s="5" customFormat="1" ht="16" x14ac:dyDescent="0.2">
      <c r="A161" s="205"/>
      <c r="B161" s="206"/>
      <c r="C161" s="206"/>
      <c r="D161" s="206"/>
      <c r="E161" s="207"/>
      <c r="F161" s="207"/>
      <c r="G161" s="207"/>
      <c r="H161" s="207"/>
      <c r="I161" s="197"/>
      <c r="J161" s="197"/>
      <c r="K161" s="197"/>
      <c r="L161" s="197"/>
      <c r="M161" s="199"/>
      <c r="N161" s="200"/>
      <c r="O161" s="201"/>
      <c r="P161" s="208"/>
      <c r="Q161" s="209"/>
      <c r="R161" s="210"/>
      <c r="S161" s="187"/>
      <c r="U161"/>
      <c r="V161"/>
      <c r="W161"/>
    </row>
    <row r="162" spans="1:23" s="5" customFormat="1" x14ac:dyDescent="0.2">
      <c r="A162" s="206"/>
      <c r="B162" s="206"/>
      <c r="C162" s="206"/>
      <c r="D162" s="206"/>
      <c r="E162" s="207"/>
      <c r="F162" s="53"/>
      <c r="G162" s="211" t="s">
        <v>36</v>
      </c>
      <c r="H162" s="212"/>
      <c r="I162" s="213" t="s">
        <v>63</v>
      </c>
      <c r="J162" s="213" t="s">
        <v>64</v>
      </c>
      <c r="K162" s="214" t="s">
        <v>65</v>
      </c>
      <c r="L162" s="214"/>
      <c r="M162" s="215"/>
      <c r="N162" s="187"/>
      <c r="O162" s="207"/>
      <c r="P162" s="216"/>
      <c r="Q162" s="217"/>
      <c r="R162" s="207"/>
      <c r="S162" s="207"/>
      <c r="U162"/>
      <c r="V162"/>
      <c r="W162"/>
    </row>
    <row r="163" spans="1:23" s="5" customFormat="1" x14ac:dyDescent="0.2">
      <c r="A163" s="206"/>
      <c r="B163" s="206"/>
      <c r="C163" s="206"/>
      <c r="D163" s="206"/>
      <c r="E163" s="218"/>
      <c r="F163" s="54"/>
      <c r="G163" s="1"/>
      <c r="H163" s="219" t="s">
        <v>66</v>
      </c>
      <c r="I163" s="220">
        <f>SUM(K163/1.1)</f>
        <v>6927.272727272727</v>
      </c>
      <c r="J163" s="220">
        <f>SUM(I163*0.1)</f>
        <v>692.72727272727275</v>
      </c>
      <c r="K163" s="221">
        <f>P136</f>
        <v>7620</v>
      </c>
      <c r="L163" s="222">
        <f>R136</f>
        <v>0.45155555555555549</v>
      </c>
      <c r="M163" s="187"/>
      <c r="N163" s="207"/>
      <c r="O163" s="207"/>
      <c r="P163" s="216"/>
      <c r="Q163" s="217"/>
      <c r="R163" s="207"/>
      <c r="S163" s="207"/>
      <c r="U163"/>
      <c r="V163"/>
      <c r="W163"/>
    </row>
    <row r="164" spans="1:23" s="5" customFormat="1" x14ac:dyDescent="0.2">
      <c r="A164" s="206"/>
      <c r="B164" s="206"/>
      <c r="C164" s="206"/>
      <c r="D164" s="206"/>
      <c r="E164" s="207"/>
      <c r="F164" s="54"/>
      <c r="G164" s="1"/>
      <c r="H164" s="219" t="s">
        <v>67</v>
      </c>
      <c r="I164" s="220">
        <f>SUM(K164/1.1)</f>
        <v>4072.7272727272725</v>
      </c>
      <c r="J164" s="220">
        <f>SUM(I164*0.1)</f>
        <v>407.27272727272725</v>
      </c>
      <c r="K164" s="221">
        <f>P151</f>
        <v>4480</v>
      </c>
      <c r="L164" s="222">
        <f>R151</f>
        <v>0.26548148148148148</v>
      </c>
      <c r="M164" s="1"/>
      <c r="N164" s="207"/>
      <c r="O164" s="207"/>
      <c r="P164" s="216"/>
      <c r="Q164" s="217"/>
      <c r="R164" s="207"/>
      <c r="S164" s="207"/>
      <c r="U164"/>
      <c r="V164"/>
      <c r="W164"/>
    </row>
    <row r="165" spans="1:23" s="5" customFormat="1" x14ac:dyDescent="0.2">
      <c r="A165" s="206"/>
      <c r="B165" s="206"/>
      <c r="C165" s="206"/>
      <c r="D165" s="206"/>
      <c r="E165" s="207"/>
      <c r="F165" s="223"/>
      <c r="G165" s="224"/>
      <c r="H165" s="219" t="s">
        <v>68</v>
      </c>
      <c r="I165" s="220">
        <f>SUM(K165/1.1)</f>
        <v>4340.909090909091</v>
      </c>
      <c r="J165" s="220">
        <f>SUM(I165*0.1)</f>
        <v>434.09090909090912</v>
      </c>
      <c r="K165" s="221">
        <f>P160</f>
        <v>4775</v>
      </c>
      <c r="L165" s="222">
        <f>R160</f>
        <v>0.28296296296296292</v>
      </c>
      <c r="M165" s="1"/>
      <c r="N165" s="207"/>
      <c r="O165" s="207"/>
      <c r="P165" s="216"/>
      <c r="Q165" s="217"/>
      <c r="R165" s="207"/>
      <c r="S165" s="207"/>
      <c r="U165"/>
      <c r="V165"/>
      <c r="W165"/>
    </row>
    <row r="166" spans="1:23" s="5" customFormat="1" x14ac:dyDescent="0.2">
      <c r="A166"/>
      <c r="B166"/>
      <c r="C166"/>
      <c r="D166"/>
      <c r="E166" s="207"/>
      <c r="F166" s="225"/>
      <c r="G166" s="226"/>
      <c r="H166" s="227" t="s">
        <v>20</v>
      </c>
      <c r="I166" s="228">
        <f>SUM(I163:I165)</f>
        <v>15340.909090909092</v>
      </c>
      <c r="J166" s="228">
        <f>SUM(J163:J165)</f>
        <v>1534.090909090909</v>
      </c>
      <c r="K166" s="229">
        <f>SUM(K163:K165)</f>
        <v>16875</v>
      </c>
      <c r="L166" s="230">
        <f>SUM(L163:L165)</f>
        <v>0.99999999999999978</v>
      </c>
      <c r="M166" s="1"/>
      <c r="N166" s="207"/>
      <c r="O166" s="207"/>
      <c r="P166" s="216"/>
      <c r="Q166" s="217"/>
      <c r="R166" s="207"/>
      <c r="S166" s="207"/>
      <c r="U166"/>
      <c r="V166"/>
      <c r="W166"/>
    </row>
    <row r="167" spans="1:23" s="5" customFormat="1" x14ac:dyDescent="0.2">
      <c r="A167"/>
      <c r="B167"/>
      <c r="C167"/>
      <c r="D167"/>
      <c r="E167" s="207"/>
      <c r="F167" s="231"/>
      <c r="G167" s="211" t="s">
        <v>69</v>
      </c>
      <c r="H167" s="232"/>
      <c r="I167" s="213" t="s">
        <v>63</v>
      </c>
      <c r="J167" s="213" t="s">
        <v>64</v>
      </c>
      <c r="K167" s="214" t="s">
        <v>65</v>
      </c>
      <c r="L167" s="232"/>
      <c r="M167" s="1"/>
      <c r="N167" s="207"/>
      <c r="O167" s="207"/>
      <c r="P167" s="216"/>
      <c r="Q167" s="217"/>
      <c r="R167" s="207"/>
      <c r="S167" s="207"/>
      <c r="U167"/>
      <c r="V167"/>
      <c r="W167"/>
    </row>
    <row r="168" spans="1:23" s="5" customFormat="1" x14ac:dyDescent="0.2">
      <c r="A168"/>
      <c r="B168"/>
      <c r="C168"/>
      <c r="D168"/>
      <c r="E168" s="207"/>
      <c r="F168" s="231"/>
      <c r="G168" s="219" t="s">
        <v>66</v>
      </c>
      <c r="H168" s="233"/>
      <c r="I168" s="234">
        <f>SUM(K168/1.1)</f>
        <v>0</v>
      </c>
      <c r="J168" s="234">
        <f>SUM(I168*0.1)</f>
        <v>0</v>
      </c>
      <c r="K168" s="235">
        <f>K163*H168</f>
        <v>0</v>
      </c>
      <c r="L168" s="232"/>
      <c r="M168" s="1"/>
      <c r="N168" s="207"/>
      <c r="O168" s="207"/>
      <c r="P168" s="216"/>
      <c r="Q168" s="217"/>
      <c r="R168" s="207"/>
      <c r="S168" s="207"/>
      <c r="U168"/>
      <c r="V168"/>
      <c r="W168"/>
    </row>
    <row r="169" spans="1:23" s="5" customFormat="1" x14ac:dyDescent="0.2">
      <c r="A169"/>
      <c r="B169"/>
      <c r="C169"/>
      <c r="D169"/>
      <c r="E169" s="236"/>
      <c r="F169" s="187"/>
      <c r="G169" s="219" t="s">
        <v>67</v>
      </c>
      <c r="H169" s="233"/>
      <c r="I169" s="234">
        <f>SUM(K169/1.1)</f>
        <v>0</v>
      </c>
      <c r="J169" s="234">
        <f>SUM(I169*0.1)</f>
        <v>0</v>
      </c>
      <c r="K169" s="235">
        <f t="shared" ref="K169:K170" si="103">K164*H169</f>
        <v>0</v>
      </c>
      <c r="L169" s="232"/>
      <c r="M169" s="1"/>
      <c r="N169" s="207"/>
      <c r="O169" s="207"/>
      <c r="P169" s="216"/>
      <c r="Q169" s="217"/>
      <c r="R169" s="207"/>
      <c r="S169" s="207"/>
      <c r="U169"/>
      <c r="V169"/>
      <c r="W169"/>
    </row>
    <row r="170" spans="1:23" s="5" customFormat="1" x14ac:dyDescent="0.2">
      <c r="A170"/>
      <c r="B170"/>
      <c r="C170"/>
      <c r="D170"/>
      <c r="E170" s="187"/>
      <c r="F170" s="187"/>
      <c r="G170" s="219" t="s">
        <v>68</v>
      </c>
      <c r="H170" s="233"/>
      <c r="I170" s="234">
        <f>SUM(K170/1.1)</f>
        <v>0</v>
      </c>
      <c r="J170" s="234">
        <f>SUM(I170*0.1)</f>
        <v>0</v>
      </c>
      <c r="K170" s="235">
        <f t="shared" si="103"/>
        <v>0</v>
      </c>
      <c r="L170" s="232"/>
      <c r="M170" s="1"/>
      <c r="N170" s="207"/>
      <c r="O170" s="207"/>
      <c r="P170" s="271" t="s">
        <v>81</v>
      </c>
      <c r="Q170" s="217"/>
      <c r="R170" s="207"/>
      <c r="S170" s="207"/>
      <c r="U170"/>
      <c r="V170"/>
      <c r="W170"/>
    </row>
    <row r="171" spans="1:23" s="5" customFormat="1" ht="16" thickBot="1" x14ac:dyDescent="0.25">
      <c r="A171"/>
      <c r="B171"/>
      <c r="C171"/>
      <c r="D171"/>
      <c r="E171" s="231"/>
      <c r="F171" s="187"/>
      <c r="G171" s="237"/>
      <c r="H171" s="237" t="s">
        <v>20</v>
      </c>
      <c r="I171" s="238">
        <f>SUM(I168:I170)</f>
        <v>0</v>
      </c>
      <c r="J171" s="239">
        <f>SUM(J168:J170)</f>
        <v>0</v>
      </c>
      <c r="K171" s="240">
        <f>SUM(K168:K170)</f>
        <v>0</v>
      </c>
      <c r="L171" s="241"/>
      <c r="M171" s="1"/>
      <c r="N171" s="207"/>
      <c r="O171" s="207"/>
      <c r="P171" s="216"/>
      <c r="Q171" s="217"/>
      <c r="R171" s="207"/>
      <c r="S171" s="207"/>
      <c r="U171"/>
      <c r="V171"/>
      <c r="W171"/>
    </row>
    <row r="172" spans="1:23" s="5" customFormat="1" x14ac:dyDescent="0.2">
      <c r="A172"/>
      <c r="B172"/>
      <c r="C172"/>
      <c r="D172"/>
      <c r="E172" s="9"/>
      <c r="F172" s="187"/>
      <c r="G172" s="211" t="s">
        <v>70</v>
      </c>
      <c r="H172" s="232"/>
      <c r="I172" s="213" t="s">
        <v>63</v>
      </c>
      <c r="J172" s="213" t="s">
        <v>64</v>
      </c>
      <c r="K172" s="214" t="s">
        <v>65</v>
      </c>
      <c r="L172" s="241"/>
      <c r="M172" s="1"/>
      <c r="N172" s="207"/>
      <c r="O172" s="207"/>
      <c r="P172" s="274" t="s">
        <v>78</v>
      </c>
      <c r="Q172" s="217"/>
      <c r="R172" s="207"/>
      <c r="S172" s="207"/>
      <c r="U172"/>
      <c r="V172"/>
      <c r="W172"/>
    </row>
    <row r="173" spans="1:23" s="5" customFormat="1" x14ac:dyDescent="0.2">
      <c r="A173"/>
      <c r="B173"/>
      <c r="C173"/>
      <c r="D173"/>
      <c r="E173" s="9"/>
      <c r="F173" s="187"/>
      <c r="G173" s="242" t="s">
        <v>71</v>
      </c>
      <c r="H173" s="233"/>
      <c r="I173" s="234"/>
      <c r="J173" s="234">
        <v>0</v>
      </c>
      <c r="K173" s="235">
        <v>0</v>
      </c>
      <c r="L173" s="232"/>
      <c r="M173" s="1"/>
      <c r="N173" s="207"/>
      <c r="O173" s="207"/>
      <c r="P173" s="275" t="s">
        <v>80</v>
      </c>
      <c r="Q173" s="217"/>
      <c r="R173" s="207"/>
      <c r="S173" s="207"/>
      <c r="U173"/>
      <c r="V173"/>
      <c r="W173"/>
    </row>
    <row r="174" spans="1:23" s="5" customFormat="1" ht="20" thickBot="1" x14ac:dyDescent="0.3">
      <c r="A174"/>
      <c r="B174"/>
      <c r="C174"/>
      <c r="D174"/>
      <c r="E174" s="6"/>
      <c r="F174" s="243"/>
      <c r="G174" s="242" t="s">
        <v>72</v>
      </c>
      <c r="H174" s="233"/>
      <c r="I174" s="234"/>
      <c r="J174" s="234">
        <v>0</v>
      </c>
      <c r="K174" s="235">
        <v>0</v>
      </c>
      <c r="L174" s="232"/>
      <c r="M174" s="1"/>
      <c r="N174" s="207"/>
      <c r="O174" s="207"/>
      <c r="P174" s="276" t="s">
        <v>79</v>
      </c>
      <c r="Q174" s="217"/>
      <c r="R174" s="207"/>
      <c r="S174" s="207"/>
      <c r="U174"/>
      <c r="V174"/>
      <c r="W174"/>
    </row>
    <row r="175" spans="1:23" s="5" customFormat="1" x14ac:dyDescent="0.2">
      <c r="A175"/>
      <c r="B175"/>
      <c r="C175"/>
      <c r="D175"/>
      <c r="E175" s="6"/>
      <c r="F175" s="1"/>
      <c r="G175" s="237" t="s">
        <v>20</v>
      </c>
      <c r="H175" s="237" t="s">
        <v>20</v>
      </c>
      <c r="I175" s="244">
        <f>SUM(I172:I174)</f>
        <v>0</v>
      </c>
      <c r="J175" s="244">
        <f>SUM(J172:J174)</f>
        <v>0</v>
      </c>
      <c r="K175" s="245">
        <f>SUM(K173:K174)</f>
        <v>0</v>
      </c>
      <c r="L175" s="1"/>
      <c r="M175" s="1"/>
      <c r="N175" s="207"/>
      <c r="O175" s="207"/>
      <c r="P175" s="216"/>
      <c r="Q175" s="217"/>
      <c r="R175" s="207"/>
      <c r="S175" s="207"/>
      <c r="U175"/>
      <c r="V175"/>
      <c r="W175"/>
    </row>
    <row r="176" spans="1:23" s="5" customFormat="1" x14ac:dyDescent="0.2">
      <c r="A176"/>
      <c r="B176"/>
      <c r="C176"/>
      <c r="D176"/>
      <c r="E176" s="6"/>
      <c r="F176" s="1"/>
      <c r="G176" s="237"/>
      <c r="H176" s="237"/>
      <c r="I176" s="246"/>
      <c r="J176" s="246"/>
      <c r="K176" s="246"/>
      <c r="L176" s="1"/>
      <c r="M176" s="1"/>
      <c r="N176" s="207"/>
      <c r="O176" s="207"/>
      <c r="P176" s="216"/>
      <c r="Q176" s="217"/>
      <c r="R176" s="207"/>
      <c r="S176" s="207"/>
      <c r="U176"/>
      <c r="V176"/>
      <c r="W176"/>
    </row>
    <row r="177" spans="1:23" s="5" customFormat="1" hidden="1" x14ac:dyDescent="0.2">
      <c r="A177"/>
      <c r="B177"/>
      <c r="C177"/>
      <c r="D177"/>
      <c r="E177" s="6"/>
      <c r="F177" s="1"/>
      <c r="G177" s="247"/>
      <c r="H177" s="237"/>
      <c r="I177" s="246"/>
      <c r="J177" s="246"/>
      <c r="K177" s="246"/>
      <c r="L177" s="1"/>
      <c r="M177" s="1"/>
      <c r="N177" s="207"/>
      <c r="O177" s="207"/>
      <c r="P177" s="216"/>
      <c r="Q177" s="217"/>
      <c r="R177" s="207"/>
      <c r="S177" s="207"/>
      <c r="U177"/>
      <c r="V177"/>
      <c r="W177"/>
    </row>
    <row r="178" spans="1:23" s="5" customFormat="1" hidden="1" x14ac:dyDescent="0.2">
      <c r="A178"/>
      <c r="B178"/>
      <c r="C178"/>
      <c r="D178"/>
      <c r="E178" s="1"/>
      <c r="F178" s="1"/>
      <c r="G178" s="237"/>
      <c r="H178" s="248"/>
      <c r="I178" s="249"/>
      <c r="J178" s="250"/>
      <c r="K178" s="251"/>
      <c r="L178" s="1"/>
      <c r="M178" s="1"/>
      <c r="N178" s="207"/>
      <c r="O178" s="207"/>
      <c r="P178" s="216"/>
      <c r="Q178" s="217"/>
      <c r="R178" s="207"/>
      <c r="S178" s="207"/>
      <c r="U178"/>
      <c r="V178"/>
      <c r="W178"/>
    </row>
    <row r="179" spans="1:23" s="5" customFormat="1" x14ac:dyDescent="0.2">
      <c r="A179"/>
      <c r="B179"/>
      <c r="C179"/>
      <c r="D179"/>
      <c r="E179" s="207"/>
      <c r="F179" s="207"/>
      <c r="G179" s="237" t="s">
        <v>73</v>
      </c>
      <c r="H179" s="248"/>
      <c r="I179" s="252">
        <f>I166-I171-I175</f>
        <v>15340.909090909092</v>
      </c>
      <c r="J179" s="253">
        <f>J166-J171-J175</f>
        <v>1534.090909090909</v>
      </c>
      <c r="K179" s="252">
        <f>K166-K171-K175+K177</f>
        <v>16875</v>
      </c>
      <c r="L179" s="1"/>
      <c r="M179" s="1"/>
      <c r="N179" s="207"/>
      <c r="O179" s="1"/>
      <c r="P179" s="216"/>
      <c r="Q179" s="217"/>
      <c r="R179" s="207"/>
      <c r="S179" s="207"/>
      <c r="U179"/>
      <c r="V179"/>
      <c r="W179"/>
    </row>
    <row r="180" spans="1:23" s="5" customFormat="1" x14ac:dyDescent="0.2">
      <c r="A180"/>
      <c r="B180"/>
      <c r="C180"/>
      <c r="D180"/>
      <c r="E180" s="207"/>
      <c r="F180" s="207"/>
      <c r="G180" s="237"/>
      <c r="H180" s="1"/>
      <c r="I180" s="1"/>
      <c r="J180" s="1"/>
      <c r="K180" s="1"/>
      <c r="L180" s="1"/>
      <c r="M180" s="1"/>
      <c r="N180" s="1"/>
      <c r="O180" s="1"/>
      <c r="P180" s="216"/>
      <c r="Q180" s="217"/>
      <c r="R180" s="207"/>
      <c r="S180" s="207"/>
      <c r="U180"/>
      <c r="V180"/>
      <c r="W180"/>
    </row>
    <row r="181" spans="1:23" s="5" customFormat="1" x14ac:dyDescent="0.2">
      <c r="A181"/>
      <c r="B181"/>
      <c r="C181"/>
      <c r="D181"/>
      <c r="E181" s="206"/>
      <c r="F181" s="206"/>
      <c r="G181" s="254"/>
      <c r="H181" s="1"/>
      <c r="I181" s="1"/>
      <c r="J181" s="1"/>
      <c r="K181" s="1"/>
      <c r="L181" s="1"/>
      <c r="M181" s="1"/>
      <c r="N181" s="1"/>
      <c r="O181" s="1"/>
      <c r="P181" s="216"/>
      <c r="Q181" s="217"/>
      <c r="R181" s="207"/>
      <c r="S181" s="207"/>
      <c r="U181"/>
      <c r="V181"/>
      <c r="W181"/>
    </row>
    <row r="182" spans="1:23" s="5" customFormat="1" x14ac:dyDescent="0.2">
      <c r="A182"/>
      <c r="B182"/>
      <c r="C182"/>
      <c r="D182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1"/>
      <c r="P182" s="216"/>
      <c r="Q182" s="217"/>
      <c r="R182" s="207"/>
      <c r="S182" s="207"/>
      <c r="U182"/>
      <c r="V182"/>
      <c r="W182"/>
    </row>
    <row r="183" spans="1:23" s="5" customFormat="1" x14ac:dyDescent="0.2">
      <c r="A183"/>
      <c r="B183"/>
      <c r="C183"/>
      <c r="D183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1"/>
      <c r="P183" s="216"/>
      <c r="Q183" s="217"/>
      <c r="R183" s="207"/>
      <c r="S183" s="207"/>
      <c r="U183"/>
      <c r="V183"/>
      <c r="W183"/>
    </row>
    <row r="184" spans="1:23" s="5" customFormat="1" x14ac:dyDescent="0.2">
      <c r="A184"/>
      <c r="B184"/>
      <c r="C184"/>
      <c r="D184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1"/>
      <c r="P184" s="216"/>
      <c r="Q184" s="217"/>
      <c r="R184" s="207"/>
      <c r="S184" s="207"/>
      <c r="U184"/>
      <c r="V184"/>
      <c r="W184"/>
    </row>
    <row r="185" spans="1:23" s="5" customFormat="1" x14ac:dyDescent="0.2">
      <c r="A185"/>
      <c r="B185"/>
      <c r="C185"/>
      <c r="D185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1"/>
      <c r="P185" s="216"/>
      <c r="Q185" s="217"/>
      <c r="R185" s="207"/>
      <c r="S185" s="207"/>
      <c r="U185"/>
      <c r="V185"/>
      <c r="W185"/>
    </row>
    <row r="186" spans="1:23" s="5" customFormat="1" x14ac:dyDescent="0.2">
      <c r="A186"/>
      <c r="B186"/>
      <c r="C186"/>
      <c r="D18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1"/>
      <c r="P186" s="216"/>
      <c r="Q186" s="217"/>
      <c r="R186" s="207"/>
      <c r="S186" s="207"/>
      <c r="U186"/>
      <c r="V186"/>
      <c r="W186"/>
    </row>
    <row r="187" spans="1:23" s="5" customFormat="1" x14ac:dyDescent="0.2">
      <c r="A187"/>
      <c r="B187"/>
      <c r="C187"/>
      <c r="D187"/>
      <c r="E187"/>
      <c r="F187"/>
      <c r="G187" s="206"/>
      <c r="H187" s="206"/>
      <c r="I187" s="206"/>
      <c r="J187" s="206"/>
      <c r="K187" s="206"/>
      <c r="L187" s="206"/>
      <c r="M187" s="206"/>
      <c r="N187" s="206"/>
      <c r="O187" s="1"/>
      <c r="P187" s="216"/>
      <c r="Q187" s="217"/>
      <c r="R187" s="207"/>
      <c r="S187" s="207"/>
      <c r="U187"/>
      <c r="V187"/>
      <c r="W187"/>
    </row>
    <row r="188" spans="1:23" s="5" customFormat="1" x14ac:dyDescent="0.2">
      <c r="A188"/>
      <c r="B188"/>
      <c r="C188"/>
      <c r="D188"/>
      <c r="E188"/>
      <c r="F188"/>
      <c r="G188" s="206"/>
      <c r="H188" s="206"/>
      <c r="I188" s="206"/>
      <c r="J188" s="206"/>
      <c r="K188" s="206"/>
      <c r="L188" s="206"/>
      <c r="M188" s="206"/>
      <c r="N188" s="206"/>
      <c r="O188" s="206"/>
      <c r="P188" s="255"/>
      <c r="Q188" s="256"/>
      <c r="R188" s="206"/>
      <c r="S188" s="206"/>
      <c r="U188"/>
      <c r="V188"/>
      <c r="W188"/>
    </row>
    <row r="189" spans="1:23" s="5" customFormat="1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 s="206"/>
      <c r="P189" s="255"/>
      <c r="Q189" s="256"/>
      <c r="R189" s="206"/>
      <c r="S189"/>
      <c r="U189"/>
      <c r="V189"/>
      <c r="W189"/>
    </row>
    <row r="190" spans="1:23" s="5" customFormat="1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 s="206"/>
      <c r="P190" s="255"/>
      <c r="Q190" s="256"/>
      <c r="R190" s="206"/>
      <c r="S190"/>
      <c r="U190"/>
      <c r="V190"/>
      <c r="W190"/>
    </row>
    <row r="191" spans="1:23" s="5" customFormat="1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 s="206"/>
      <c r="P191" s="255"/>
      <c r="Q191" s="256"/>
      <c r="R191" s="206"/>
      <c r="S191"/>
      <c r="U191"/>
      <c r="V191"/>
      <c r="W191"/>
    </row>
    <row r="192" spans="1:23" x14ac:dyDescent="0.2">
      <c r="O192" s="206"/>
      <c r="P192" s="255"/>
      <c r="Q192" s="256"/>
      <c r="R192" s="206"/>
    </row>
    <row r="193" spans="15:18" x14ac:dyDescent="0.2">
      <c r="O193" s="206"/>
      <c r="P193" s="255"/>
      <c r="Q193" s="256"/>
      <c r="R193" s="206"/>
    </row>
    <row r="194" spans="15:18" x14ac:dyDescent="0.2">
      <c r="O194" s="206"/>
      <c r="P194" s="255"/>
      <c r="Q194" s="256"/>
      <c r="R194" s="206"/>
    </row>
  </sheetData>
  <mergeCells count="8">
    <mergeCell ref="E5:F5"/>
    <mergeCell ref="K5:L5"/>
    <mergeCell ref="E2:F2"/>
    <mergeCell ref="K2:L2"/>
    <mergeCell ref="E3:F3"/>
    <mergeCell ref="K3:L3"/>
    <mergeCell ref="E4:F4"/>
    <mergeCell ref="K4:L4"/>
  </mergeCells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MELB</vt:lpstr>
      <vt:lpstr>MELB!Print_Area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Boland, Elisha, Ceremony of Roses</dc:creator>
  <cp:lastModifiedBy>Courtney Robertson</cp:lastModifiedBy>
  <dcterms:created xsi:type="dcterms:W3CDTF">2024-04-18T12:38:59Z</dcterms:created>
  <dcterms:modified xsi:type="dcterms:W3CDTF">2024-04-19T12:55:57Z</dcterms:modified>
</cp:coreProperties>
</file>